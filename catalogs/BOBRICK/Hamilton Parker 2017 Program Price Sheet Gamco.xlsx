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ger\Desktop\"/>
    </mc:Choice>
  </mc:AlternateContent>
  <bookViews>
    <workbookView xWindow="0" yWindow="0" windowWidth="24000" windowHeight="9735"/>
  </bookViews>
  <sheets>
    <sheet name="Gamco-January 2017" sheetId="1" r:id="rId1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2" i="1"/>
  <c r="D333" i="1" l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<sst xmlns="http://schemas.openxmlformats.org/spreadsheetml/2006/main" count="340" uniqueCount="340">
  <si>
    <t>Model Number</t>
  </si>
  <si>
    <t>Distibutor NET</t>
  </si>
  <si>
    <t>DEALER</t>
  </si>
  <si>
    <t>COMMERCIAL</t>
  </si>
  <si>
    <t>100S X 18</t>
  </si>
  <si>
    <t>100S X 24</t>
  </si>
  <si>
    <t>125-SWING-UP</t>
  </si>
  <si>
    <t>125-SWING-UP-PH</t>
  </si>
  <si>
    <t>125E X 18</t>
  </si>
  <si>
    <t>125E X 24</t>
  </si>
  <si>
    <t>125E X 30</t>
  </si>
  <si>
    <t>125E X 36</t>
  </si>
  <si>
    <t>125E X 42</t>
  </si>
  <si>
    <t>125E X 48</t>
  </si>
  <si>
    <t>125S X 12</t>
  </si>
  <si>
    <t>125S X 12T</t>
  </si>
  <si>
    <t>125S X 18</t>
  </si>
  <si>
    <t>125S X 18T</t>
  </si>
  <si>
    <t>125S X 24</t>
  </si>
  <si>
    <t>125S X 24T</t>
  </si>
  <si>
    <t>125S X 30</t>
  </si>
  <si>
    <t>125S X 36</t>
  </si>
  <si>
    <t>125S X 36T</t>
  </si>
  <si>
    <t>125S X 42</t>
  </si>
  <si>
    <t>125S X 42T</t>
  </si>
  <si>
    <t>125S X 48</t>
  </si>
  <si>
    <t>125S-10</t>
  </si>
  <si>
    <t>125S-12</t>
  </si>
  <si>
    <t>125S-12T</t>
  </si>
  <si>
    <t>125S-50</t>
  </si>
  <si>
    <t>150C X 18</t>
  </si>
  <si>
    <t>150C X 18T</t>
  </si>
  <si>
    <t>150C X 24</t>
  </si>
  <si>
    <t>150C X 24T</t>
  </si>
  <si>
    <t>150C X 36</t>
  </si>
  <si>
    <t>150C X 36T</t>
  </si>
  <si>
    <t>150C X 42</t>
  </si>
  <si>
    <t>150C X 42T</t>
  </si>
  <si>
    <t>150C X 48</t>
  </si>
  <si>
    <t>150S X 12</t>
  </si>
  <si>
    <t>150S X 18</t>
  </si>
  <si>
    <t>150S X 18T</t>
  </si>
  <si>
    <t>150S X 24</t>
  </si>
  <si>
    <t>150S X 24T</t>
  </si>
  <si>
    <t>150S X 30</t>
  </si>
  <si>
    <t>150S X 36</t>
  </si>
  <si>
    <t>150S X 36T</t>
  </si>
  <si>
    <t>150S X 42</t>
  </si>
  <si>
    <t>150S X 42T</t>
  </si>
  <si>
    <t>150S X 48</t>
  </si>
  <si>
    <t>150S-5R</t>
  </si>
  <si>
    <t>150S-5L</t>
  </si>
  <si>
    <t>150S-10</t>
  </si>
  <si>
    <t>150S-12</t>
  </si>
  <si>
    <t>150S-12T</t>
  </si>
  <si>
    <t>150S-45</t>
  </si>
  <si>
    <t>150S-50</t>
  </si>
  <si>
    <t>22</t>
  </si>
  <si>
    <t>23</t>
  </si>
  <si>
    <t>100CH</t>
  </si>
  <si>
    <t>100CHNR</t>
  </si>
  <si>
    <t>100CHSS</t>
  </si>
  <si>
    <t>100SC 42 X 72</t>
  </si>
  <si>
    <t>100SC 72 X 72</t>
  </si>
  <si>
    <t>211</t>
  </si>
  <si>
    <t>212</t>
  </si>
  <si>
    <t>212 DBL</t>
  </si>
  <si>
    <t>212-SF</t>
  </si>
  <si>
    <t>212-SF DBL</t>
  </si>
  <si>
    <t>282 25</t>
  </si>
  <si>
    <t>287</t>
  </si>
  <si>
    <t>352 25</t>
  </si>
  <si>
    <t>355</t>
  </si>
  <si>
    <t>3552</t>
  </si>
  <si>
    <t>751 X 18</t>
  </si>
  <si>
    <t>751 X 24</t>
  </si>
  <si>
    <t>753</t>
  </si>
  <si>
    <t>757</t>
  </si>
  <si>
    <t>759</t>
  </si>
  <si>
    <t>761</t>
  </si>
  <si>
    <t>813</t>
  </si>
  <si>
    <t>813NRC</t>
  </si>
  <si>
    <t>814</t>
  </si>
  <si>
    <t>814NRC</t>
  </si>
  <si>
    <t>815</t>
  </si>
  <si>
    <t>816</t>
  </si>
  <si>
    <t>830</t>
  </si>
  <si>
    <t>5181</t>
  </si>
  <si>
    <t>5191</t>
  </si>
  <si>
    <t>7636</t>
  </si>
  <si>
    <t>7671</t>
  </si>
  <si>
    <t>76717</t>
  </si>
  <si>
    <t>7672</t>
  </si>
  <si>
    <t>76727</t>
  </si>
  <si>
    <t>7673 X 18</t>
  </si>
  <si>
    <t>76737 X 18</t>
  </si>
  <si>
    <t>7673 X 24</t>
  </si>
  <si>
    <t>76737 X 24</t>
  </si>
  <si>
    <t>7674 X 18</t>
  </si>
  <si>
    <t>76747 X 18</t>
  </si>
  <si>
    <t>7674 X 24</t>
  </si>
  <si>
    <t>76747X 24</t>
  </si>
  <si>
    <t>7676 X 24</t>
  </si>
  <si>
    <t>76767 X 24</t>
  </si>
  <si>
    <t>76777</t>
  </si>
  <si>
    <t>76787</t>
  </si>
  <si>
    <t>7679</t>
  </si>
  <si>
    <t>76797</t>
  </si>
  <si>
    <t>7680</t>
  </si>
  <si>
    <t>76807</t>
  </si>
  <si>
    <t>7682</t>
  </si>
  <si>
    <t>76827</t>
  </si>
  <si>
    <t>7685</t>
  </si>
  <si>
    <t>76857</t>
  </si>
  <si>
    <t>7686</t>
  </si>
  <si>
    <t>76867</t>
  </si>
  <si>
    <t>B-2116</t>
  </si>
  <si>
    <t>BCS-1</t>
  </si>
  <si>
    <t>BCS-2</t>
  </si>
  <si>
    <t>BP-1</t>
  </si>
  <si>
    <t>BP-2</t>
  </si>
  <si>
    <t>CD-1</t>
  </si>
  <si>
    <t>CG-2</t>
  </si>
  <si>
    <t>CG-4</t>
  </si>
  <si>
    <t>CT-2</t>
  </si>
  <si>
    <t>CT-4</t>
  </si>
  <si>
    <t>G-16AP</t>
  </si>
  <si>
    <t>G-29L</t>
  </si>
  <si>
    <t>G-58AP</t>
  </si>
  <si>
    <t>G-297FS</t>
  </si>
  <si>
    <t>G-397</t>
  </si>
  <si>
    <t>G-63SD</t>
  </si>
  <si>
    <t>G-64LB</t>
  </si>
  <si>
    <t>G-64LB-6"</t>
  </si>
  <si>
    <t>G-64LB-US-3</t>
  </si>
  <si>
    <t>G-64LB-6-US-3</t>
  </si>
  <si>
    <t>G-950FA</t>
  </si>
  <si>
    <t>G-950SA</t>
  </si>
  <si>
    <t>HCS-1</t>
  </si>
  <si>
    <t>HCS-2</t>
  </si>
  <si>
    <t>HCS-3</t>
  </si>
  <si>
    <t>MC-1</t>
  </si>
  <si>
    <t>MC-2</t>
  </si>
  <si>
    <t>MS-1</t>
  </si>
  <si>
    <t>MS-1A</t>
  </si>
  <si>
    <t>MS-2</t>
  </si>
  <si>
    <t>MSA-1</t>
  </si>
  <si>
    <t>MSA-5</t>
  </si>
  <si>
    <t>MSA-11</t>
  </si>
  <si>
    <t>MSA-14</t>
  </si>
  <si>
    <t>MSA-18</t>
  </si>
  <si>
    <t>MSA-25</t>
  </si>
  <si>
    <t>ND-1</t>
  </si>
  <si>
    <t>ND-3</t>
  </si>
  <si>
    <t>ND-4</t>
  </si>
  <si>
    <t>ND-5</t>
  </si>
  <si>
    <t>ND-6</t>
  </si>
  <si>
    <t>NV-2-4</t>
  </si>
  <si>
    <t>NV-2-4FS</t>
  </si>
  <si>
    <t>RGD-1</t>
  </si>
  <si>
    <t>S-5 X 16</t>
  </si>
  <si>
    <t>S-5 X 18</t>
  </si>
  <si>
    <t>S-6 X 16</t>
  </si>
  <si>
    <t>S-6 X 18</t>
  </si>
  <si>
    <t>S-6 X 24</t>
  </si>
  <si>
    <t>S-6 X 36</t>
  </si>
  <si>
    <t>S-8 X 18</t>
  </si>
  <si>
    <t>S-8 X 24</t>
  </si>
  <si>
    <t>S-8 X 36</t>
  </si>
  <si>
    <t>SD-1</t>
  </si>
  <si>
    <t>SPB-1</t>
  </si>
  <si>
    <t>SPH-2</t>
  </si>
  <si>
    <t>SR100E X 36</t>
  </si>
  <si>
    <t>SR100E X 42</t>
  </si>
  <si>
    <t>SR100E X 48</t>
  </si>
  <si>
    <t>SR100E X 60</t>
  </si>
  <si>
    <t>SR100E X 72</t>
  </si>
  <si>
    <t>SR100C X 36</t>
  </si>
  <si>
    <t>SR100C X 42</t>
  </si>
  <si>
    <t>SR100C X 48</t>
  </si>
  <si>
    <t>SR100C X 60</t>
  </si>
  <si>
    <t>SR100C X 72</t>
  </si>
  <si>
    <t>SR100SQ X 36</t>
  </si>
  <si>
    <t>SR100SQ X 42</t>
  </si>
  <si>
    <t>SR100SQ X 48</t>
  </si>
  <si>
    <t>SR100SQ X 60</t>
  </si>
  <si>
    <t>SR100SQ X 72</t>
  </si>
  <si>
    <t>SR125C X 36</t>
  </si>
  <si>
    <t>SR125C X 42</t>
  </si>
  <si>
    <t>SR125C X 48</t>
  </si>
  <si>
    <t>SR125C X 60</t>
  </si>
  <si>
    <t>SR125C X 72</t>
  </si>
  <si>
    <t>SR125E X 42</t>
  </si>
  <si>
    <t>SR125E X 48</t>
  </si>
  <si>
    <t>SR125E X 36</t>
  </si>
  <si>
    <t>SR125E X 60</t>
  </si>
  <si>
    <t>SR125E X 72</t>
  </si>
  <si>
    <t>SR125SQ X 36</t>
  </si>
  <si>
    <t>SR125SQ X 42</t>
  </si>
  <si>
    <t>SR125SQ X 48</t>
  </si>
  <si>
    <t>SR125SQ X 60</t>
  </si>
  <si>
    <t>SR125SQ X 72</t>
  </si>
  <si>
    <t>TB-1</t>
  </si>
  <si>
    <t>TB-2</t>
  </si>
  <si>
    <t>TB-3</t>
  </si>
  <si>
    <t>TB-4</t>
  </si>
  <si>
    <t>TD-2</t>
  </si>
  <si>
    <t>TD-2-8</t>
  </si>
  <si>
    <t>TD-3</t>
  </si>
  <si>
    <t>TD-4</t>
  </si>
  <si>
    <t>TD-4F</t>
  </si>
  <si>
    <t>TD-4FS</t>
  </si>
  <si>
    <t>TD-5</t>
  </si>
  <si>
    <t>TD-6</t>
  </si>
  <si>
    <t>TD-6F</t>
  </si>
  <si>
    <t>TD-6FS</t>
  </si>
  <si>
    <t>TD-11RP</t>
  </si>
  <si>
    <t>TD-11RPT</t>
  </si>
  <si>
    <t>TD-12RP
TD-12RPT</t>
  </si>
  <si>
    <t>TSC-1</t>
  </si>
  <si>
    <t>TSC-2</t>
  </si>
  <si>
    <t>TSC-5</t>
  </si>
  <si>
    <t>TSC-5FS</t>
  </si>
  <si>
    <t>TSC-5P</t>
  </si>
  <si>
    <t>TSC-5PH</t>
  </si>
  <si>
    <t>TSC-6</t>
  </si>
  <si>
    <t>TSC-6FS</t>
  </si>
  <si>
    <t>TSC-6P</t>
  </si>
  <si>
    <t>TSC-6PH</t>
  </si>
  <si>
    <t>TSC-7</t>
  </si>
  <si>
    <t>TSC-8</t>
  </si>
  <si>
    <t>TTD-1</t>
  </si>
  <si>
    <t>TTD-2</t>
  </si>
  <si>
    <t>TTD-5</t>
  </si>
  <si>
    <t>TTD-6</t>
  </si>
  <si>
    <t>TTD-7</t>
  </si>
  <si>
    <t>TTD-9</t>
  </si>
  <si>
    <t>TTD-11</t>
  </si>
  <si>
    <t>TTD-13</t>
  </si>
  <si>
    <t>TTD-14</t>
  </si>
  <si>
    <t>TW-1</t>
  </si>
  <si>
    <t>TW-1F</t>
  </si>
  <si>
    <t>TW-1FS</t>
  </si>
  <si>
    <t>TW-1-6</t>
  </si>
  <si>
    <t>TW-1-18</t>
  </si>
  <si>
    <t>TW-3</t>
  </si>
  <si>
    <t>TW-3FS</t>
  </si>
  <si>
    <t>TW-6</t>
  </si>
  <si>
    <t>TW-8</t>
  </si>
  <si>
    <t>TW-9</t>
  </si>
  <si>
    <t>TW-9F</t>
  </si>
  <si>
    <t>TW-9-4</t>
  </si>
  <si>
    <t>TW-12RP</t>
  </si>
  <si>
    <t>TW-12RPF</t>
  </si>
  <si>
    <t>TW-14RP</t>
  </si>
  <si>
    <t>TW-14RP-T</t>
  </si>
  <si>
    <t>TW-14RPF-T</t>
  </si>
  <si>
    <t>TW-14RPFS</t>
  </si>
  <si>
    <t>TW-14RPFS-T</t>
  </si>
  <si>
    <t>US-1</t>
  </si>
  <si>
    <t>US-2</t>
  </si>
  <si>
    <t>US-5</t>
  </si>
  <si>
    <t>US-6</t>
  </si>
  <si>
    <t>US-7</t>
  </si>
  <si>
    <t>WR-1</t>
  </si>
  <si>
    <t>WR-2</t>
  </si>
  <si>
    <t>WR-3</t>
  </si>
  <si>
    <t>WR-6</t>
  </si>
  <si>
    <t>WR-6-6</t>
  </si>
  <si>
    <t>WR-6-18</t>
  </si>
  <si>
    <t>WR-7</t>
  </si>
  <si>
    <t>WR-9</t>
  </si>
  <si>
    <t>WR-11</t>
  </si>
  <si>
    <t>WR-11NT</t>
  </si>
  <si>
    <t>WR-12</t>
  </si>
  <si>
    <t>WR-12NT</t>
  </si>
  <si>
    <t>WR-14</t>
  </si>
  <si>
    <t>WR-15</t>
  </si>
  <si>
    <t>A-18 X 24</t>
  </si>
  <si>
    <t>A-18 X 30</t>
  </si>
  <si>
    <t>A-18 X 36</t>
  </si>
  <si>
    <t>A-18 X 60</t>
  </si>
  <si>
    <t>A-20 X 60</t>
  </si>
  <si>
    <t>A-24 X 30</t>
  </si>
  <si>
    <t>A-24 X 36</t>
  </si>
  <si>
    <t>A-24 X 48</t>
  </si>
  <si>
    <t>A-24 X 60</t>
  </si>
  <si>
    <t>A-24 X 72</t>
  </si>
  <si>
    <t>A-30 X 36</t>
  </si>
  <si>
    <t>A-36 X 24</t>
  </si>
  <si>
    <t>A-36 X 36</t>
  </si>
  <si>
    <t>A-48 X 30</t>
  </si>
  <si>
    <t>A-48 X 36</t>
  </si>
  <si>
    <t>A-60 X 24</t>
  </si>
  <si>
    <t>A-60 X 30</t>
  </si>
  <si>
    <t>A-60 X 36</t>
  </si>
  <si>
    <t>A-72 X 36</t>
  </si>
  <si>
    <t>AT-18 X 30</t>
  </si>
  <si>
    <t>AT-24 X 36</t>
  </si>
  <si>
    <t>C-18 X 24</t>
  </si>
  <si>
    <t>C-18 X 30</t>
  </si>
  <si>
    <t>C-18 X 36</t>
  </si>
  <si>
    <t>C-20 X 60</t>
  </si>
  <si>
    <t>C-24 X 30</t>
  </si>
  <si>
    <t>C-24 X 36</t>
  </si>
  <si>
    <t>C-24 X 48</t>
  </si>
  <si>
    <t>C-24 X 60</t>
  </si>
  <si>
    <t>C-30 X 36</t>
  </si>
  <si>
    <t>C-36 X 36</t>
  </si>
  <si>
    <t>C-36 X 48</t>
  </si>
  <si>
    <t>C-48 X 36</t>
  </si>
  <si>
    <t>C-60 X 36</t>
  </si>
  <si>
    <t>C-72 X 36</t>
  </si>
  <si>
    <t>FT-16 X 30</t>
  </si>
  <si>
    <t>FT-18 X 30</t>
  </si>
  <si>
    <t>FT-18 X 36</t>
  </si>
  <si>
    <t>FT-24 X 30</t>
  </si>
  <si>
    <t>FT-24 X 36</t>
  </si>
  <si>
    <t>M-16 X 24</t>
  </si>
  <si>
    <t>M-18 X 24</t>
  </si>
  <si>
    <t>M-18 X 30</t>
  </si>
  <si>
    <t>M-18 X 36</t>
  </si>
  <si>
    <t>M-24 X 30</t>
  </si>
  <si>
    <t>M-24 X 36</t>
  </si>
  <si>
    <t>MS-18</t>
  </si>
  <si>
    <t>MS-24</t>
  </si>
  <si>
    <t>DR-510</t>
  </si>
  <si>
    <t>DR-570 115V</t>
  </si>
  <si>
    <t>DR-570 230V</t>
  </si>
  <si>
    <t>DR-578 115V</t>
  </si>
  <si>
    <t>DR-578 230V</t>
  </si>
  <si>
    <t>DR-5120</t>
  </si>
  <si>
    <t>DR-5128</t>
  </si>
  <si>
    <t>DR-5708 115V</t>
  </si>
  <si>
    <t>DR-5750 115V</t>
  </si>
  <si>
    <t>KJR-973K-1</t>
  </si>
  <si>
    <t>TW-8F</t>
  </si>
  <si>
    <t>TW-8FS</t>
  </si>
  <si>
    <t>TW-9FS</t>
  </si>
  <si>
    <t>HAMILTON PARKER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</si>
</sst>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44" fontId="0" fillId="2" borderId="1" xfId="0" applyNumberForma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left" vertical="top"/>
    </xf>
    <xf numFmtId="0" fontId="3" fillId="3" borderId="1" xfId="1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4" fillId="3" borderId="1" xfId="1" applyNumberFormat="1" applyFont="1" applyFill="1" applyBorder="1" applyAlignment="1">
      <alignment horizontal="left" vertical="top"/>
    </xf>
    <xf numFmtId="44" fontId="0" fillId="0" borderId="1" xfId="0" applyNumberFormat="1" applyFill="1" applyBorder="1" applyAlignment="1">
      <alignment horizontal="left" vertical="top"/>
    </xf>
    <xf numFmtId="44" fontId="8" fillId="0" borderId="1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  <xf numFmtId="44" fontId="0" fillId="2" borderId="2" xfId="0" applyNumberForma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44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</cellXfs>
  <cellStyles count="17">
    <cellStyle name="Comma 2" xfId="2"/>
    <cellStyle name="Currency 2" xfId="3"/>
    <cellStyle name="Currency 2 2" xfId="4"/>
    <cellStyle name="Currency 3" xfId="5"/>
    <cellStyle name="Currency 4" xfId="6"/>
    <cellStyle name="Normal" xfId="0" builtinId="0"/>
    <cellStyle name="Normal 2" xfId="7"/>
    <cellStyle name="Normal 2 2" xfId="8"/>
    <cellStyle name="Normal 3" xfId="9"/>
    <cellStyle name="Normal 4" xfId="10"/>
    <cellStyle name="Normal 5" xfId="11"/>
    <cellStyle name="Normal 6" xfId="12"/>
    <cellStyle name="Normal 6 2" xfId="1"/>
    <cellStyle name="Percent 2" xfId="13"/>
    <cellStyle name="Percent 2 2" xfId="14"/>
    <cellStyle name="Percent 3" xfId="15"/>
    <cellStyle name="Percent 4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"/>
  <sheetViews>
    <sheetView tabSelected="1" workbookViewId="0">
      <selection activeCell="E7" sqref="E7"/>
    </sheetView>
  </sheetViews>
  <sheetFormatPr defaultRowHeight="12.75" x14ac:dyDescent="0.2"/>
  <cols>
    <col min="1" max="1" width="18.6640625" style="11" customWidth="1"/>
    <col min="2" max="2" width="15.33203125" style="10" bestFit="1" customWidth="1"/>
    <col min="3" max="3" width="16.33203125" style="2" hidden="1" customWidth="1"/>
    <col min="4" max="4" width="24.1640625" style="2" hidden="1" customWidth="1"/>
    <col min="5" max="5" width="26.33203125" style="19" bestFit="1" customWidth="1"/>
    <col min="6" max="16384" width="9.3320312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5" t="s">
        <v>3</v>
      </c>
      <c r="E1" s="17" t="s">
        <v>339</v>
      </c>
    </row>
    <row r="2" spans="1:5" x14ac:dyDescent="0.2">
      <c r="A2" s="3" t="s">
        <v>4</v>
      </c>
      <c r="B2" s="4">
        <v>28.049999999999997</v>
      </c>
      <c r="C2" s="5">
        <f>B2/0.75</f>
        <v>37.4</v>
      </c>
      <c r="D2" s="16">
        <f>B2*2</f>
        <v>56.099999999999994</v>
      </c>
      <c r="E2" s="18">
        <f>B2*0.873</f>
        <v>24.487649999999999</v>
      </c>
    </row>
    <row r="3" spans="1:5" x14ac:dyDescent="0.2">
      <c r="A3" s="3" t="s">
        <v>5</v>
      </c>
      <c r="B3" s="4">
        <v>30</v>
      </c>
      <c r="C3" s="5">
        <f t="shared" ref="C3:C66" si="0">B3/0.75</f>
        <v>40</v>
      </c>
      <c r="D3" s="16">
        <f t="shared" ref="D3:D66" si="1">B3*2</f>
        <v>60</v>
      </c>
      <c r="E3" s="18">
        <f t="shared" ref="E3:E66" si="2">B3*0.873</f>
        <v>26.19</v>
      </c>
    </row>
    <row r="4" spans="1:5" x14ac:dyDescent="0.2">
      <c r="A4" s="3" t="s">
        <v>6</v>
      </c>
      <c r="B4" s="4">
        <v>127.35000000000001</v>
      </c>
      <c r="C4" s="5">
        <f t="shared" si="0"/>
        <v>169.8</v>
      </c>
      <c r="D4" s="16">
        <f t="shared" si="1"/>
        <v>254.70000000000002</v>
      </c>
      <c r="E4" s="18">
        <f t="shared" si="2"/>
        <v>111.17655000000001</v>
      </c>
    </row>
    <row r="5" spans="1:5" x14ac:dyDescent="0.2">
      <c r="A5" s="3" t="s">
        <v>7</v>
      </c>
      <c r="B5" s="4">
        <v>153.75</v>
      </c>
      <c r="C5" s="5">
        <f t="shared" si="0"/>
        <v>205</v>
      </c>
      <c r="D5" s="16">
        <f t="shared" si="1"/>
        <v>307.5</v>
      </c>
      <c r="E5" s="18">
        <f t="shared" si="2"/>
        <v>134.22375</v>
      </c>
    </row>
    <row r="6" spans="1:5" x14ac:dyDescent="0.2">
      <c r="A6" s="3" t="s">
        <v>8</v>
      </c>
      <c r="B6" s="4">
        <v>24.150000000000002</v>
      </c>
      <c r="C6" s="5">
        <f t="shared" si="0"/>
        <v>32.200000000000003</v>
      </c>
      <c r="D6" s="16">
        <f t="shared" si="1"/>
        <v>48.300000000000004</v>
      </c>
      <c r="E6" s="18">
        <f t="shared" si="2"/>
        <v>21.08295</v>
      </c>
    </row>
    <row r="7" spans="1:5" x14ac:dyDescent="0.2">
      <c r="A7" s="3" t="s">
        <v>9</v>
      </c>
      <c r="B7" s="4">
        <v>25.200000000000003</v>
      </c>
      <c r="C7" s="5">
        <f t="shared" si="0"/>
        <v>33.6</v>
      </c>
      <c r="D7" s="16">
        <f t="shared" si="1"/>
        <v>50.400000000000006</v>
      </c>
      <c r="E7" s="18">
        <f t="shared" si="2"/>
        <v>21.999600000000001</v>
      </c>
    </row>
    <row r="8" spans="1:5" x14ac:dyDescent="0.2">
      <c r="A8" s="3" t="s">
        <v>10</v>
      </c>
      <c r="B8" s="4">
        <v>27</v>
      </c>
      <c r="C8" s="5">
        <f t="shared" si="0"/>
        <v>36</v>
      </c>
      <c r="D8" s="16">
        <f t="shared" si="1"/>
        <v>54</v>
      </c>
      <c r="E8" s="18">
        <f t="shared" si="2"/>
        <v>23.571000000000002</v>
      </c>
    </row>
    <row r="9" spans="1:5" x14ac:dyDescent="0.2">
      <c r="A9" s="3" t="s">
        <v>11</v>
      </c>
      <c r="B9" s="4">
        <v>27.150000000000002</v>
      </c>
      <c r="C9" s="5">
        <f t="shared" si="0"/>
        <v>36.200000000000003</v>
      </c>
      <c r="D9" s="16">
        <f t="shared" si="1"/>
        <v>54.300000000000004</v>
      </c>
      <c r="E9" s="18">
        <f t="shared" si="2"/>
        <v>23.70195</v>
      </c>
    </row>
    <row r="10" spans="1:5" x14ac:dyDescent="0.2">
      <c r="A10" s="3" t="s">
        <v>12</v>
      </c>
      <c r="B10" s="4">
        <v>28.200000000000003</v>
      </c>
      <c r="C10" s="5">
        <f t="shared" si="0"/>
        <v>37.6</v>
      </c>
      <c r="D10" s="16">
        <f t="shared" si="1"/>
        <v>56.400000000000006</v>
      </c>
      <c r="E10" s="18">
        <f t="shared" si="2"/>
        <v>24.618600000000001</v>
      </c>
    </row>
    <row r="11" spans="1:5" x14ac:dyDescent="0.2">
      <c r="A11" s="3" t="s">
        <v>13</v>
      </c>
      <c r="B11" s="4">
        <v>29.1</v>
      </c>
      <c r="C11" s="5">
        <f t="shared" si="0"/>
        <v>38.800000000000004</v>
      </c>
      <c r="D11" s="16">
        <f t="shared" si="1"/>
        <v>58.2</v>
      </c>
      <c r="E11" s="18">
        <f t="shared" si="2"/>
        <v>25.404300000000003</v>
      </c>
    </row>
    <row r="12" spans="1:5" x14ac:dyDescent="0.2">
      <c r="A12" s="3" t="s">
        <v>14</v>
      </c>
      <c r="B12" s="4">
        <v>13.8</v>
      </c>
      <c r="C12" s="5">
        <f t="shared" si="0"/>
        <v>18.400000000000002</v>
      </c>
      <c r="D12" s="16">
        <f t="shared" si="1"/>
        <v>27.6</v>
      </c>
      <c r="E12" s="18">
        <f t="shared" si="2"/>
        <v>12.047400000000001</v>
      </c>
    </row>
    <row r="13" spans="1:5" x14ac:dyDescent="0.2">
      <c r="A13" s="3" t="s">
        <v>15</v>
      </c>
      <c r="B13" s="4">
        <v>15</v>
      </c>
      <c r="C13" s="5">
        <f t="shared" si="0"/>
        <v>20</v>
      </c>
      <c r="D13" s="16">
        <f t="shared" si="1"/>
        <v>30</v>
      </c>
      <c r="E13" s="18">
        <f t="shared" si="2"/>
        <v>13.095000000000001</v>
      </c>
    </row>
    <row r="14" spans="1:5" x14ac:dyDescent="0.2">
      <c r="A14" s="3" t="s">
        <v>16</v>
      </c>
      <c r="B14" s="4">
        <v>14.700000000000001</v>
      </c>
      <c r="C14" s="5">
        <f t="shared" si="0"/>
        <v>19.600000000000001</v>
      </c>
      <c r="D14" s="16">
        <f t="shared" si="1"/>
        <v>29.400000000000002</v>
      </c>
      <c r="E14" s="18">
        <f t="shared" si="2"/>
        <v>12.833100000000002</v>
      </c>
    </row>
    <row r="15" spans="1:5" x14ac:dyDescent="0.2">
      <c r="A15" s="3" t="s">
        <v>17</v>
      </c>
      <c r="B15" s="4">
        <v>16.350000000000001</v>
      </c>
      <c r="C15" s="5">
        <f t="shared" si="0"/>
        <v>21.8</v>
      </c>
      <c r="D15" s="16">
        <f t="shared" si="1"/>
        <v>32.700000000000003</v>
      </c>
      <c r="E15" s="18">
        <f t="shared" si="2"/>
        <v>14.273550000000002</v>
      </c>
    </row>
    <row r="16" spans="1:5" x14ac:dyDescent="0.2">
      <c r="A16" s="3" t="s">
        <v>18</v>
      </c>
      <c r="B16" s="4">
        <v>15.75</v>
      </c>
      <c r="C16" s="5">
        <f t="shared" si="0"/>
        <v>21</v>
      </c>
      <c r="D16" s="16">
        <f t="shared" si="1"/>
        <v>31.5</v>
      </c>
      <c r="E16" s="18">
        <f t="shared" si="2"/>
        <v>13.749750000000001</v>
      </c>
    </row>
    <row r="17" spans="1:5" x14ac:dyDescent="0.2">
      <c r="A17" s="3" t="s">
        <v>19</v>
      </c>
      <c r="B17" s="4">
        <v>17.400000000000002</v>
      </c>
      <c r="C17" s="5">
        <f t="shared" si="0"/>
        <v>23.200000000000003</v>
      </c>
      <c r="D17" s="16">
        <f t="shared" si="1"/>
        <v>34.800000000000004</v>
      </c>
      <c r="E17" s="18">
        <f t="shared" si="2"/>
        <v>15.190200000000003</v>
      </c>
    </row>
    <row r="18" spans="1:5" x14ac:dyDescent="0.2">
      <c r="A18" s="3" t="s">
        <v>20</v>
      </c>
      <c r="B18" s="4">
        <v>16.8</v>
      </c>
      <c r="C18" s="5">
        <f t="shared" si="0"/>
        <v>22.400000000000002</v>
      </c>
      <c r="D18" s="16">
        <f t="shared" si="1"/>
        <v>33.6</v>
      </c>
      <c r="E18" s="18">
        <f t="shared" si="2"/>
        <v>14.666400000000001</v>
      </c>
    </row>
    <row r="19" spans="1:5" x14ac:dyDescent="0.2">
      <c r="A19" s="3" t="s">
        <v>21</v>
      </c>
      <c r="B19" s="4">
        <v>17.700000000000003</v>
      </c>
      <c r="C19" s="5">
        <f t="shared" si="0"/>
        <v>23.600000000000005</v>
      </c>
      <c r="D19" s="16">
        <f t="shared" si="1"/>
        <v>35.400000000000006</v>
      </c>
      <c r="E19" s="18">
        <f t="shared" si="2"/>
        <v>15.452100000000003</v>
      </c>
    </row>
    <row r="20" spans="1:5" x14ac:dyDescent="0.2">
      <c r="A20" s="3" t="s">
        <v>22</v>
      </c>
      <c r="B20" s="4">
        <v>20.85</v>
      </c>
      <c r="C20" s="5">
        <f t="shared" si="0"/>
        <v>27.8</v>
      </c>
      <c r="D20" s="16">
        <f t="shared" si="1"/>
        <v>41.7</v>
      </c>
      <c r="E20" s="18">
        <f t="shared" si="2"/>
        <v>18.20205</v>
      </c>
    </row>
    <row r="21" spans="1:5" x14ac:dyDescent="0.2">
      <c r="A21" s="3" t="s">
        <v>23</v>
      </c>
      <c r="B21" s="4">
        <v>18.450000000000003</v>
      </c>
      <c r="C21" s="5">
        <f t="shared" si="0"/>
        <v>24.600000000000005</v>
      </c>
      <c r="D21" s="16">
        <f t="shared" si="1"/>
        <v>36.900000000000006</v>
      </c>
      <c r="E21" s="18">
        <f t="shared" si="2"/>
        <v>16.106850000000001</v>
      </c>
    </row>
    <row r="22" spans="1:5" x14ac:dyDescent="0.2">
      <c r="A22" s="3" t="s">
        <v>24</v>
      </c>
      <c r="B22" s="4">
        <v>21.450000000000003</v>
      </c>
      <c r="C22" s="5">
        <f t="shared" si="0"/>
        <v>28.600000000000005</v>
      </c>
      <c r="D22" s="16">
        <f t="shared" si="1"/>
        <v>42.900000000000006</v>
      </c>
      <c r="E22" s="18">
        <f t="shared" si="2"/>
        <v>18.725850000000001</v>
      </c>
    </row>
    <row r="23" spans="1:5" x14ac:dyDescent="0.2">
      <c r="A23" s="3" t="s">
        <v>25</v>
      </c>
      <c r="B23" s="4">
        <v>22.5</v>
      </c>
      <c r="C23" s="5">
        <f t="shared" si="0"/>
        <v>30</v>
      </c>
      <c r="D23" s="16">
        <f t="shared" si="1"/>
        <v>45</v>
      </c>
      <c r="E23" s="18">
        <f t="shared" si="2"/>
        <v>19.642499999999998</v>
      </c>
    </row>
    <row r="24" spans="1:5" x14ac:dyDescent="0.2">
      <c r="A24" s="3" t="s">
        <v>26</v>
      </c>
      <c r="B24" s="4">
        <v>49.650000000000006</v>
      </c>
      <c r="C24" s="5">
        <f t="shared" si="0"/>
        <v>66.2</v>
      </c>
      <c r="D24" s="16">
        <f t="shared" si="1"/>
        <v>99.300000000000011</v>
      </c>
      <c r="E24" s="18">
        <f t="shared" si="2"/>
        <v>43.344450000000002</v>
      </c>
    </row>
    <row r="25" spans="1:5" x14ac:dyDescent="0.2">
      <c r="A25" s="3" t="s">
        <v>27</v>
      </c>
      <c r="B25" s="4">
        <v>41.400000000000006</v>
      </c>
      <c r="C25" s="5">
        <f t="shared" si="0"/>
        <v>55.20000000000001</v>
      </c>
      <c r="D25" s="16">
        <f t="shared" si="1"/>
        <v>82.800000000000011</v>
      </c>
      <c r="E25" s="18">
        <f t="shared" si="2"/>
        <v>36.142200000000003</v>
      </c>
    </row>
    <row r="26" spans="1:5" x14ac:dyDescent="0.2">
      <c r="A26" s="3" t="s">
        <v>28</v>
      </c>
      <c r="B26" s="4">
        <v>57.300000000000004</v>
      </c>
      <c r="C26" s="5">
        <f t="shared" si="0"/>
        <v>76.400000000000006</v>
      </c>
      <c r="D26" s="16">
        <f t="shared" si="1"/>
        <v>114.60000000000001</v>
      </c>
      <c r="E26" s="18">
        <f t="shared" si="2"/>
        <v>50.022900000000007</v>
      </c>
    </row>
    <row r="27" spans="1:5" x14ac:dyDescent="0.2">
      <c r="A27" s="3" t="s">
        <v>29</v>
      </c>
      <c r="B27" s="4">
        <v>55.050000000000004</v>
      </c>
      <c r="C27" s="5">
        <f t="shared" si="0"/>
        <v>73.400000000000006</v>
      </c>
      <c r="D27" s="16">
        <f t="shared" si="1"/>
        <v>110.10000000000001</v>
      </c>
      <c r="E27" s="18">
        <f t="shared" si="2"/>
        <v>48.05865</v>
      </c>
    </row>
    <row r="28" spans="1:5" x14ac:dyDescent="0.2">
      <c r="A28" s="3" t="s">
        <v>30</v>
      </c>
      <c r="B28" s="4">
        <v>21.450000000000003</v>
      </c>
      <c r="C28" s="5">
        <f t="shared" si="0"/>
        <v>28.600000000000005</v>
      </c>
      <c r="D28" s="16">
        <f t="shared" si="1"/>
        <v>42.900000000000006</v>
      </c>
      <c r="E28" s="18">
        <f t="shared" si="2"/>
        <v>18.725850000000001</v>
      </c>
    </row>
    <row r="29" spans="1:5" x14ac:dyDescent="0.2">
      <c r="A29" s="3" t="s">
        <v>31</v>
      </c>
      <c r="B29" s="4">
        <v>23.85</v>
      </c>
      <c r="C29" s="5">
        <f t="shared" si="0"/>
        <v>31.8</v>
      </c>
      <c r="D29" s="16">
        <f t="shared" si="1"/>
        <v>47.7</v>
      </c>
      <c r="E29" s="18">
        <f t="shared" si="2"/>
        <v>20.82105</v>
      </c>
    </row>
    <row r="30" spans="1:5" x14ac:dyDescent="0.2">
      <c r="A30" s="3" t="s">
        <v>32</v>
      </c>
      <c r="B30" s="4">
        <v>23.400000000000002</v>
      </c>
      <c r="C30" s="5">
        <f t="shared" si="0"/>
        <v>31.200000000000003</v>
      </c>
      <c r="D30" s="16">
        <f t="shared" si="1"/>
        <v>46.800000000000004</v>
      </c>
      <c r="E30" s="18">
        <f t="shared" si="2"/>
        <v>20.4282</v>
      </c>
    </row>
    <row r="31" spans="1:5" x14ac:dyDescent="0.2">
      <c r="A31" s="3" t="s">
        <v>33</v>
      </c>
      <c r="B31" s="4">
        <v>25.650000000000002</v>
      </c>
      <c r="C31" s="5">
        <f t="shared" si="0"/>
        <v>34.200000000000003</v>
      </c>
      <c r="D31" s="16">
        <f t="shared" si="1"/>
        <v>51.300000000000004</v>
      </c>
      <c r="E31" s="18">
        <f t="shared" si="2"/>
        <v>22.39245</v>
      </c>
    </row>
    <row r="32" spans="1:5" x14ac:dyDescent="0.2">
      <c r="A32" s="3" t="s">
        <v>34</v>
      </c>
      <c r="B32" s="4">
        <v>27.150000000000002</v>
      </c>
      <c r="C32" s="5">
        <f t="shared" si="0"/>
        <v>36.200000000000003</v>
      </c>
      <c r="D32" s="16">
        <f t="shared" si="1"/>
        <v>54.300000000000004</v>
      </c>
      <c r="E32" s="18">
        <f t="shared" si="2"/>
        <v>23.70195</v>
      </c>
    </row>
    <row r="33" spans="1:5" x14ac:dyDescent="0.2">
      <c r="A33" s="3" t="s">
        <v>35</v>
      </c>
      <c r="B33" s="4">
        <v>29.400000000000002</v>
      </c>
      <c r="C33" s="5">
        <f t="shared" si="0"/>
        <v>39.200000000000003</v>
      </c>
      <c r="D33" s="16">
        <f t="shared" si="1"/>
        <v>58.800000000000004</v>
      </c>
      <c r="E33" s="18">
        <f t="shared" si="2"/>
        <v>25.666200000000003</v>
      </c>
    </row>
    <row r="34" spans="1:5" x14ac:dyDescent="0.2">
      <c r="A34" s="3" t="s">
        <v>36</v>
      </c>
      <c r="B34" s="4">
        <v>29.1</v>
      </c>
      <c r="C34" s="5">
        <f t="shared" si="0"/>
        <v>38.800000000000004</v>
      </c>
      <c r="D34" s="16">
        <f t="shared" si="1"/>
        <v>58.2</v>
      </c>
      <c r="E34" s="18">
        <f t="shared" si="2"/>
        <v>25.404300000000003</v>
      </c>
    </row>
    <row r="35" spans="1:5" x14ac:dyDescent="0.2">
      <c r="A35" s="3" t="s">
        <v>37</v>
      </c>
      <c r="B35" s="4">
        <v>31.200000000000003</v>
      </c>
      <c r="C35" s="5">
        <f t="shared" si="0"/>
        <v>41.6</v>
      </c>
      <c r="D35" s="16">
        <f t="shared" si="1"/>
        <v>62.400000000000006</v>
      </c>
      <c r="E35" s="18">
        <f t="shared" si="2"/>
        <v>27.237600000000004</v>
      </c>
    </row>
    <row r="36" spans="1:5" x14ac:dyDescent="0.2">
      <c r="A36" s="3" t="s">
        <v>38</v>
      </c>
      <c r="B36" s="4">
        <v>35.1</v>
      </c>
      <c r="C36" s="5">
        <f t="shared" si="0"/>
        <v>46.800000000000004</v>
      </c>
      <c r="D36" s="16">
        <f t="shared" si="1"/>
        <v>70.2</v>
      </c>
      <c r="E36" s="18">
        <f t="shared" si="2"/>
        <v>30.642300000000002</v>
      </c>
    </row>
    <row r="37" spans="1:5" x14ac:dyDescent="0.2">
      <c r="A37" s="3" t="s">
        <v>39</v>
      </c>
      <c r="B37" s="4">
        <v>15.450000000000001</v>
      </c>
      <c r="C37" s="5">
        <f t="shared" si="0"/>
        <v>20.6</v>
      </c>
      <c r="D37" s="16">
        <f t="shared" si="1"/>
        <v>30.900000000000002</v>
      </c>
      <c r="E37" s="18">
        <f t="shared" si="2"/>
        <v>13.487850000000002</v>
      </c>
    </row>
    <row r="38" spans="1:5" x14ac:dyDescent="0.2">
      <c r="A38" s="3" t="s">
        <v>40</v>
      </c>
      <c r="B38" s="14">
        <v>16.05</v>
      </c>
      <c r="C38" s="5">
        <f t="shared" si="0"/>
        <v>21.400000000000002</v>
      </c>
      <c r="D38" s="16">
        <f t="shared" si="1"/>
        <v>32.1</v>
      </c>
      <c r="E38" s="18">
        <f t="shared" si="2"/>
        <v>14.011650000000001</v>
      </c>
    </row>
    <row r="39" spans="1:5" x14ac:dyDescent="0.2">
      <c r="A39" s="3" t="s">
        <v>41</v>
      </c>
      <c r="B39" s="14">
        <v>19.05</v>
      </c>
      <c r="C39" s="5">
        <f t="shared" si="0"/>
        <v>25.400000000000002</v>
      </c>
      <c r="D39" s="16">
        <f t="shared" si="1"/>
        <v>38.1</v>
      </c>
      <c r="E39" s="18">
        <f t="shared" si="2"/>
        <v>16.630649999999999</v>
      </c>
    </row>
    <row r="40" spans="1:5" x14ac:dyDescent="0.2">
      <c r="A40" s="3" t="s">
        <v>42</v>
      </c>
      <c r="B40" s="14">
        <v>16.8</v>
      </c>
      <c r="C40" s="5">
        <f t="shared" si="0"/>
        <v>22.400000000000002</v>
      </c>
      <c r="D40" s="16">
        <f t="shared" si="1"/>
        <v>33.6</v>
      </c>
      <c r="E40" s="18">
        <f t="shared" si="2"/>
        <v>14.666400000000001</v>
      </c>
    </row>
    <row r="41" spans="1:5" x14ac:dyDescent="0.2">
      <c r="A41" s="3" t="s">
        <v>43</v>
      </c>
      <c r="B41" s="14">
        <v>19.350000000000001</v>
      </c>
      <c r="C41" s="5">
        <f t="shared" si="0"/>
        <v>25.8</v>
      </c>
      <c r="D41" s="16">
        <f t="shared" si="1"/>
        <v>38.700000000000003</v>
      </c>
      <c r="E41" s="18">
        <f t="shared" si="2"/>
        <v>16.89255</v>
      </c>
    </row>
    <row r="42" spans="1:5" x14ac:dyDescent="0.2">
      <c r="A42" s="3" t="s">
        <v>44</v>
      </c>
      <c r="B42" s="14">
        <v>17.100000000000001</v>
      </c>
      <c r="C42" s="5">
        <f t="shared" si="0"/>
        <v>22.8</v>
      </c>
      <c r="D42" s="16">
        <f t="shared" si="1"/>
        <v>34.200000000000003</v>
      </c>
      <c r="E42" s="18">
        <f t="shared" si="2"/>
        <v>14.928300000000002</v>
      </c>
    </row>
    <row r="43" spans="1:5" x14ac:dyDescent="0.2">
      <c r="A43" s="3" t="s">
        <v>45</v>
      </c>
      <c r="B43" s="14">
        <v>17.850000000000001</v>
      </c>
      <c r="C43" s="5">
        <f t="shared" si="0"/>
        <v>23.8</v>
      </c>
      <c r="D43" s="16">
        <f t="shared" si="1"/>
        <v>35.700000000000003</v>
      </c>
      <c r="E43" s="18">
        <f t="shared" si="2"/>
        <v>15.583050000000002</v>
      </c>
    </row>
    <row r="44" spans="1:5" x14ac:dyDescent="0.2">
      <c r="A44" s="3" t="s">
        <v>46</v>
      </c>
      <c r="B44" s="14">
        <v>20.55</v>
      </c>
      <c r="C44" s="5">
        <f t="shared" si="0"/>
        <v>27.400000000000002</v>
      </c>
      <c r="D44" s="16">
        <f t="shared" si="1"/>
        <v>41.1</v>
      </c>
      <c r="E44" s="18">
        <f t="shared" si="2"/>
        <v>17.940149999999999</v>
      </c>
    </row>
    <row r="45" spans="1:5" x14ac:dyDescent="0.2">
      <c r="A45" s="3" t="s">
        <v>47</v>
      </c>
      <c r="B45" s="14">
        <v>18.900000000000002</v>
      </c>
      <c r="C45" s="5">
        <f t="shared" si="0"/>
        <v>25.200000000000003</v>
      </c>
      <c r="D45" s="16">
        <f t="shared" si="1"/>
        <v>37.800000000000004</v>
      </c>
      <c r="E45" s="18">
        <f t="shared" si="2"/>
        <v>16.499700000000001</v>
      </c>
    </row>
    <row r="46" spans="1:5" x14ac:dyDescent="0.2">
      <c r="A46" s="3" t="s">
        <v>48</v>
      </c>
      <c r="B46" s="14">
        <v>21.45</v>
      </c>
      <c r="C46" s="5">
        <f t="shared" si="0"/>
        <v>28.599999999999998</v>
      </c>
      <c r="D46" s="16">
        <f t="shared" si="1"/>
        <v>42.9</v>
      </c>
      <c r="E46" s="18">
        <f t="shared" si="2"/>
        <v>18.725849999999998</v>
      </c>
    </row>
    <row r="47" spans="1:5" x14ac:dyDescent="0.2">
      <c r="A47" s="3" t="s">
        <v>49</v>
      </c>
      <c r="B47" s="14">
        <v>21.6</v>
      </c>
      <c r="C47" s="5">
        <f t="shared" si="0"/>
        <v>28.8</v>
      </c>
      <c r="D47" s="16">
        <f t="shared" si="1"/>
        <v>43.2</v>
      </c>
      <c r="E47" s="18">
        <f t="shared" si="2"/>
        <v>18.8568</v>
      </c>
    </row>
    <row r="48" spans="1:5" x14ac:dyDescent="0.2">
      <c r="A48" s="3" t="s">
        <v>50</v>
      </c>
      <c r="B48" s="14">
        <v>55.650000000000006</v>
      </c>
      <c r="C48" s="5">
        <f t="shared" si="0"/>
        <v>74.2</v>
      </c>
      <c r="D48" s="16">
        <f t="shared" si="1"/>
        <v>111.30000000000001</v>
      </c>
      <c r="E48" s="18">
        <f t="shared" si="2"/>
        <v>48.582450000000001</v>
      </c>
    </row>
    <row r="49" spans="1:5" x14ac:dyDescent="0.2">
      <c r="A49" s="3" t="s">
        <v>51</v>
      </c>
      <c r="B49" s="4">
        <v>55.650000000000006</v>
      </c>
      <c r="C49" s="5">
        <f t="shared" si="0"/>
        <v>74.2</v>
      </c>
      <c r="D49" s="16">
        <f t="shared" si="1"/>
        <v>111.30000000000001</v>
      </c>
      <c r="E49" s="18">
        <f t="shared" si="2"/>
        <v>48.582450000000001</v>
      </c>
    </row>
    <row r="50" spans="1:5" x14ac:dyDescent="0.2">
      <c r="A50" s="3" t="s">
        <v>52</v>
      </c>
      <c r="B50" s="4">
        <v>55.050000000000004</v>
      </c>
      <c r="C50" s="5">
        <f t="shared" si="0"/>
        <v>73.400000000000006</v>
      </c>
      <c r="D50" s="16">
        <f t="shared" si="1"/>
        <v>110.10000000000001</v>
      </c>
      <c r="E50" s="18">
        <f t="shared" si="2"/>
        <v>48.05865</v>
      </c>
    </row>
    <row r="51" spans="1:5" x14ac:dyDescent="0.2">
      <c r="A51" s="3" t="s">
        <v>53</v>
      </c>
      <c r="B51" s="4">
        <v>48.599999999999994</v>
      </c>
      <c r="C51" s="5">
        <f t="shared" si="0"/>
        <v>64.8</v>
      </c>
      <c r="D51" s="16">
        <f t="shared" si="1"/>
        <v>97.199999999999989</v>
      </c>
      <c r="E51" s="18">
        <f t="shared" si="2"/>
        <v>42.427799999999998</v>
      </c>
    </row>
    <row r="52" spans="1:5" x14ac:dyDescent="0.2">
      <c r="A52" s="3" t="s">
        <v>54</v>
      </c>
      <c r="B52" s="4">
        <v>67.2</v>
      </c>
      <c r="C52" s="5">
        <f t="shared" si="0"/>
        <v>89.600000000000009</v>
      </c>
      <c r="D52" s="16">
        <f t="shared" si="1"/>
        <v>134.4</v>
      </c>
      <c r="E52" s="18">
        <f t="shared" si="2"/>
        <v>58.665600000000005</v>
      </c>
    </row>
    <row r="53" spans="1:5" x14ac:dyDescent="0.2">
      <c r="A53" s="3" t="s">
        <v>55</v>
      </c>
      <c r="B53" s="4">
        <v>57</v>
      </c>
      <c r="C53" s="5">
        <f t="shared" si="0"/>
        <v>76</v>
      </c>
      <c r="D53" s="16">
        <f t="shared" si="1"/>
        <v>114</v>
      </c>
      <c r="E53" s="18">
        <f t="shared" si="2"/>
        <v>49.761000000000003</v>
      </c>
    </row>
    <row r="54" spans="1:5" x14ac:dyDescent="0.2">
      <c r="A54" s="3" t="s">
        <v>56</v>
      </c>
      <c r="B54" s="4">
        <v>60.900000000000006</v>
      </c>
      <c r="C54" s="5">
        <f t="shared" si="0"/>
        <v>81.2</v>
      </c>
      <c r="D54" s="16">
        <f t="shared" si="1"/>
        <v>121.80000000000001</v>
      </c>
      <c r="E54" s="18">
        <f t="shared" si="2"/>
        <v>53.165700000000008</v>
      </c>
    </row>
    <row r="55" spans="1:5" x14ac:dyDescent="0.2">
      <c r="A55" s="3" t="s">
        <v>57</v>
      </c>
      <c r="B55" s="4">
        <v>4.6500000000000004</v>
      </c>
      <c r="C55" s="5">
        <f t="shared" si="0"/>
        <v>6.2</v>
      </c>
      <c r="D55" s="16">
        <f t="shared" si="1"/>
        <v>9.3000000000000007</v>
      </c>
      <c r="E55" s="18">
        <f t="shared" si="2"/>
        <v>4.05945</v>
      </c>
    </row>
    <row r="56" spans="1:5" x14ac:dyDescent="0.2">
      <c r="A56" s="3" t="s">
        <v>58</v>
      </c>
      <c r="B56" s="4">
        <v>8.4</v>
      </c>
      <c r="C56" s="5">
        <f t="shared" si="0"/>
        <v>11.200000000000001</v>
      </c>
      <c r="D56" s="16">
        <f t="shared" si="1"/>
        <v>16.8</v>
      </c>
      <c r="E56" s="18">
        <f t="shared" si="2"/>
        <v>7.3332000000000006</v>
      </c>
    </row>
    <row r="57" spans="1:5" x14ac:dyDescent="0.2">
      <c r="A57" s="3" t="s">
        <v>59</v>
      </c>
      <c r="B57" s="4">
        <v>0.45000000000000007</v>
      </c>
      <c r="C57" s="5">
        <f t="shared" si="0"/>
        <v>0.60000000000000009</v>
      </c>
      <c r="D57" s="16">
        <f t="shared" si="1"/>
        <v>0.90000000000000013</v>
      </c>
      <c r="E57" s="18">
        <f t="shared" si="2"/>
        <v>0.39285000000000003</v>
      </c>
    </row>
    <row r="58" spans="1:5" x14ac:dyDescent="0.2">
      <c r="A58" s="3" t="s">
        <v>60</v>
      </c>
      <c r="B58" s="4">
        <v>3.9000000000000004</v>
      </c>
      <c r="C58" s="5">
        <f t="shared" si="0"/>
        <v>5.2</v>
      </c>
      <c r="D58" s="16">
        <f t="shared" si="1"/>
        <v>7.8000000000000007</v>
      </c>
      <c r="E58" s="18">
        <f t="shared" si="2"/>
        <v>3.4047000000000005</v>
      </c>
    </row>
    <row r="59" spans="1:5" x14ac:dyDescent="0.2">
      <c r="A59" s="3" t="s">
        <v>61</v>
      </c>
      <c r="B59" s="4">
        <v>0.45000000000000007</v>
      </c>
      <c r="C59" s="5">
        <f t="shared" si="0"/>
        <v>0.60000000000000009</v>
      </c>
      <c r="D59" s="16">
        <f t="shared" si="1"/>
        <v>0.90000000000000013</v>
      </c>
      <c r="E59" s="18">
        <f t="shared" si="2"/>
        <v>0.39285000000000003</v>
      </c>
    </row>
    <row r="60" spans="1:5" x14ac:dyDescent="0.2">
      <c r="A60" s="3" t="s">
        <v>62</v>
      </c>
      <c r="B60" s="4">
        <v>10.950000000000001</v>
      </c>
      <c r="C60" s="5">
        <f t="shared" si="0"/>
        <v>14.600000000000001</v>
      </c>
      <c r="D60" s="16">
        <f t="shared" si="1"/>
        <v>21.900000000000002</v>
      </c>
      <c r="E60" s="18">
        <f t="shared" si="2"/>
        <v>9.5593500000000002</v>
      </c>
    </row>
    <row r="61" spans="1:5" x14ac:dyDescent="0.2">
      <c r="A61" s="3" t="s">
        <v>63</v>
      </c>
      <c r="B61" s="4">
        <v>11.25</v>
      </c>
      <c r="C61" s="5">
        <f t="shared" si="0"/>
        <v>15</v>
      </c>
      <c r="D61" s="16">
        <f t="shared" si="1"/>
        <v>22.5</v>
      </c>
      <c r="E61" s="18">
        <f t="shared" si="2"/>
        <v>9.8212499999999991</v>
      </c>
    </row>
    <row r="62" spans="1:5" x14ac:dyDescent="0.2">
      <c r="A62" s="3" t="s">
        <v>64</v>
      </c>
      <c r="B62" s="4">
        <v>11.25</v>
      </c>
      <c r="C62" s="5">
        <f t="shared" si="0"/>
        <v>15</v>
      </c>
      <c r="D62" s="16">
        <f t="shared" si="1"/>
        <v>22.5</v>
      </c>
      <c r="E62" s="18">
        <f t="shared" si="2"/>
        <v>9.8212499999999991</v>
      </c>
    </row>
    <row r="63" spans="1:5" x14ac:dyDescent="0.2">
      <c r="A63" s="3" t="s">
        <v>65</v>
      </c>
      <c r="B63" s="4">
        <v>4.8000000000000007</v>
      </c>
      <c r="C63" s="5">
        <f t="shared" si="0"/>
        <v>6.4000000000000012</v>
      </c>
      <c r="D63" s="16">
        <f t="shared" si="1"/>
        <v>9.6000000000000014</v>
      </c>
      <c r="E63" s="18">
        <f t="shared" si="2"/>
        <v>4.1904000000000003</v>
      </c>
    </row>
    <row r="64" spans="1:5" x14ac:dyDescent="0.2">
      <c r="A64" s="3" t="s">
        <v>66</v>
      </c>
      <c r="B64" s="4">
        <v>25.650000000000002</v>
      </c>
      <c r="C64" s="5">
        <f t="shared" si="0"/>
        <v>34.200000000000003</v>
      </c>
      <c r="D64" s="16">
        <f t="shared" si="1"/>
        <v>51.300000000000004</v>
      </c>
      <c r="E64" s="18">
        <f t="shared" si="2"/>
        <v>22.39245</v>
      </c>
    </row>
    <row r="65" spans="1:5" x14ac:dyDescent="0.2">
      <c r="A65" s="3" t="s">
        <v>67</v>
      </c>
      <c r="B65" s="4">
        <v>11.25</v>
      </c>
      <c r="C65" s="5">
        <f t="shared" si="0"/>
        <v>15</v>
      </c>
      <c r="D65" s="16">
        <f t="shared" si="1"/>
        <v>22.5</v>
      </c>
      <c r="E65" s="18">
        <f t="shared" si="2"/>
        <v>9.8212499999999991</v>
      </c>
    </row>
    <row r="66" spans="1:5" x14ac:dyDescent="0.2">
      <c r="A66" s="3" t="s">
        <v>68</v>
      </c>
      <c r="B66" s="4">
        <v>26.700000000000003</v>
      </c>
      <c r="C66" s="5">
        <f t="shared" si="0"/>
        <v>35.6</v>
      </c>
      <c r="D66" s="16">
        <f t="shared" si="1"/>
        <v>53.400000000000006</v>
      </c>
      <c r="E66" s="18">
        <f t="shared" si="2"/>
        <v>23.309100000000001</v>
      </c>
    </row>
    <row r="67" spans="1:5" x14ac:dyDescent="0.2">
      <c r="A67" s="3" t="s">
        <v>69</v>
      </c>
      <c r="B67" s="4">
        <v>251.70000000000002</v>
      </c>
      <c r="C67" s="5">
        <f t="shared" ref="C67:C130" si="3">B67/0.75</f>
        <v>335.6</v>
      </c>
      <c r="D67" s="16">
        <f t="shared" ref="D67:D130" si="4">B67*2</f>
        <v>503.40000000000003</v>
      </c>
      <c r="E67" s="18">
        <f t="shared" ref="E67:E130" si="5">B67*0.873</f>
        <v>219.73410000000001</v>
      </c>
    </row>
    <row r="68" spans="1:5" x14ac:dyDescent="0.2">
      <c r="A68" s="3" t="s">
        <v>70</v>
      </c>
      <c r="B68" s="4">
        <v>52.650000000000006</v>
      </c>
      <c r="C68" s="5">
        <f t="shared" si="3"/>
        <v>70.2</v>
      </c>
      <c r="D68" s="16">
        <f t="shared" si="4"/>
        <v>105.30000000000001</v>
      </c>
      <c r="E68" s="18">
        <f t="shared" si="5"/>
        <v>45.963450000000002</v>
      </c>
    </row>
    <row r="69" spans="1:5" x14ac:dyDescent="0.2">
      <c r="A69" s="3" t="s">
        <v>71</v>
      </c>
      <c r="B69" s="4">
        <v>247.65000000000003</v>
      </c>
      <c r="C69" s="5">
        <f t="shared" si="3"/>
        <v>330.20000000000005</v>
      </c>
      <c r="D69" s="16">
        <f t="shared" si="4"/>
        <v>495.30000000000007</v>
      </c>
      <c r="E69" s="18">
        <f t="shared" si="5"/>
        <v>216.19845000000004</v>
      </c>
    </row>
    <row r="70" spans="1:5" x14ac:dyDescent="0.2">
      <c r="A70" s="3" t="s">
        <v>72</v>
      </c>
      <c r="B70" s="4">
        <v>15.3</v>
      </c>
      <c r="C70" s="5">
        <f t="shared" si="3"/>
        <v>20.400000000000002</v>
      </c>
      <c r="D70" s="16">
        <f t="shared" si="4"/>
        <v>30.6</v>
      </c>
      <c r="E70" s="18">
        <f t="shared" si="5"/>
        <v>13.356900000000001</v>
      </c>
    </row>
    <row r="71" spans="1:5" x14ac:dyDescent="0.2">
      <c r="A71" s="3" t="s">
        <v>73</v>
      </c>
      <c r="B71" s="4">
        <v>14.400000000000002</v>
      </c>
      <c r="C71" s="5">
        <f t="shared" si="3"/>
        <v>19.200000000000003</v>
      </c>
      <c r="D71" s="16">
        <f t="shared" si="4"/>
        <v>28.800000000000004</v>
      </c>
      <c r="E71" s="18">
        <f t="shared" si="5"/>
        <v>12.571200000000001</v>
      </c>
    </row>
    <row r="72" spans="1:5" x14ac:dyDescent="0.2">
      <c r="A72" s="3" t="s">
        <v>74</v>
      </c>
      <c r="B72" s="4">
        <v>8.5500000000000007</v>
      </c>
      <c r="C72" s="5">
        <f t="shared" si="3"/>
        <v>11.4</v>
      </c>
      <c r="D72" s="16">
        <f t="shared" si="4"/>
        <v>17.100000000000001</v>
      </c>
      <c r="E72" s="18">
        <f t="shared" si="5"/>
        <v>7.464150000000001</v>
      </c>
    </row>
    <row r="73" spans="1:5" x14ac:dyDescent="0.2">
      <c r="A73" s="3" t="s">
        <v>75</v>
      </c>
      <c r="B73" s="4">
        <v>9</v>
      </c>
      <c r="C73" s="5">
        <f t="shared" si="3"/>
        <v>12</v>
      </c>
      <c r="D73" s="16">
        <f t="shared" si="4"/>
        <v>18</v>
      </c>
      <c r="E73" s="18">
        <f t="shared" si="5"/>
        <v>7.8570000000000002</v>
      </c>
    </row>
    <row r="74" spans="1:5" x14ac:dyDescent="0.2">
      <c r="A74" s="3" t="s">
        <v>76</v>
      </c>
      <c r="B74" s="4">
        <v>1.8000000000000003</v>
      </c>
      <c r="C74" s="5">
        <f t="shared" si="3"/>
        <v>2.4000000000000004</v>
      </c>
      <c r="D74" s="16">
        <f t="shared" si="4"/>
        <v>3.6000000000000005</v>
      </c>
      <c r="E74" s="18">
        <f t="shared" si="5"/>
        <v>1.5714000000000001</v>
      </c>
    </row>
    <row r="75" spans="1:5" x14ac:dyDescent="0.2">
      <c r="A75" s="3" t="s">
        <v>77</v>
      </c>
      <c r="B75" s="4">
        <v>3.1500000000000004</v>
      </c>
      <c r="C75" s="5">
        <f t="shared" si="3"/>
        <v>4.2</v>
      </c>
      <c r="D75" s="16">
        <f t="shared" si="4"/>
        <v>6.3000000000000007</v>
      </c>
      <c r="E75" s="18">
        <f t="shared" si="5"/>
        <v>2.7499500000000001</v>
      </c>
    </row>
    <row r="76" spans="1:5" x14ac:dyDescent="0.2">
      <c r="A76" s="3" t="s">
        <v>78</v>
      </c>
      <c r="B76" s="4">
        <v>3.6000000000000005</v>
      </c>
      <c r="C76" s="5">
        <f t="shared" si="3"/>
        <v>4.8000000000000007</v>
      </c>
      <c r="D76" s="16">
        <f t="shared" si="4"/>
        <v>7.2000000000000011</v>
      </c>
      <c r="E76" s="18">
        <f t="shared" si="5"/>
        <v>3.1428000000000003</v>
      </c>
    </row>
    <row r="77" spans="1:5" x14ac:dyDescent="0.2">
      <c r="A77" s="3" t="s">
        <v>79</v>
      </c>
      <c r="B77" s="4">
        <v>8.1000000000000014</v>
      </c>
      <c r="C77" s="5">
        <f t="shared" si="3"/>
        <v>10.800000000000002</v>
      </c>
      <c r="D77" s="16">
        <f t="shared" si="4"/>
        <v>16.200000000000003</v>
      </c>
      <c r="E77" s="18">
        <f t="shared" si="5"/>
        <v>7.0713000000000008</v>
      </c>
    </row>
    <row r="78" spans="1:5" x14ac:dyDescent="0.2">
      <c r="A78" s="3" t="s">
        <v>80</v>
      </c>
      <c r="B78" s="4">
        <v>6.15</v>
      </c>
      <c r="C78" s="5">
        <f t="shared" si="3"/>
        <v>8.2000000000000011</v>
      </c>
      <c r="D78" s="16">
        <f t="shared" si="4"/>
        <v>12.3</v>
      </c>
      <c r="E78" s="18">
        <f t="shared" si="5"/>
        <v>5.3689499999999999</v>
      </c>
    </row>
    <row r="79" spans="1:5" x14ac:dyDescent="0.2">
      <c r="A79" s="3" t="s">
        <v>81</v>
      </c>
      <c r="B79" s="4">
        <v>6.15</v>
      </c>
      <c r="C79" s="5">
        <f t="shared" si="3"/>
        <v>8.2000000000000011</v>
      </c>
      <c r="D79" s="16">
        <f t="shared" si="4"/>
        <v>12.3</v>
      </c>
      <c r="E79" s="18">
        <f t="shared" si="5"/>
        <v>5.3689499999999999</v>
      </c>
    </row>
    <row r="80" spans="1:5" x14ac:dyDescent="0.2">
      <c r="A80" s="3" t="s">
        <v>82</v>
      </c>
      <c r="B80" s="4">
        <v>10.350000000000001</v>
      </c>
      <c r="C80" s="5">
        <f t="shared" si="3"/>
        <v>13.800000000000002</v>
      </c>
      <c r="D80" s="16">
        <f t="shared" si="4"/>
        <v>20.700000000000003</v>
      </c>
      <c r="E80" s="18">
        <f t="shared" si="5"/>
        <v>9.0355500000000006</v>
      </c>
    </row>
    <row r="81" spans="1:5" x14ac:dyDescent="0.2">
      <c r="A81" s="3" t="s">
        <v>83</v>
      </c>
      <c r="B81" s="4">
        <v>10.350000000000001</v>
      </c>
      <c r="C81" s="5">
        <f t="shared" si="3"/>
        <v>13.800000000000002</v>
      </c>
      <c r="D81" s="16">
        <f t="shared" si="4"/>
        <v>20.700000000000003</v>
      </c>
      <c r="E81" s="18">
        <f t="shared" si="5"/>
        <v>9.0355500000000006</v>
      </c>
    </row>
    <row r="82" spans="1:5" x14ac:dyDescent="0.2">
      <c r="A82" s="3" t="s">
        <v>84</v>
      </c>
      <c r="B82" s="4">
        <v>9.4500000000000011</v>
      </c>
      <c r="C82" s="5">
        <f t="shared" si="3"/>
        <v>12.600000000000001</v>
      </c>
      <c r="D82" s="16">
        <f t="shared" si="4"/>
        <v>18.900000000000002</v>
      </c>
      <c r="E82" s="18">
        <f t="shared" si="5"/>
        <v>8.2498500000000003</v>
      </c>
    </row>
    <row r="83" spans="1:5" x14ac:dyDescent="0.2">
      <c r="A83" s="3" t="s">
        <v>85</v>
      </c>
      <c r="B83" s="4">
        <v>9.75</v>
      </c>
      <c r="C83" s="5">
        <f t="shared" si="3"/>
        <v>13</v>
      </c>
      <c r="D83" s="16">
        <f t="shared" si="4"/>
        <v>19.5</v>
      </c>
      <c r="E83" s="18">
        <f t="shared" si="5"/>
        <v>8.5117499999999993</v>
      </c>
    </row>
    <row r="84" spans="1:5" x14ac:dyDescent="0.2">
      <c r="A84" s="3" t="s">
        <v>86</v>
      </c>
      <c r="B84" s="4">
        <v>15.3</v>
      </c>
      <c r="C84" s="5">
        <f t="shared" si="3"/>
        <v>20.400000000000002</v>
      </c>
      <c r="D84" s="16">
        <f t="shared" si="4"/>
        <v>30.6</v>
      </c>
      <c r="E84" s="18">
        <f t="shared" si="5"/>
        <v>13.356900000000001</v>
      </c>
    </row>
    <row r="85" spans="1:5" x14ac:dyDescent="0.2">
      <c r="A85" s="3" t="s">
        <v>87</v>
      </c>
      <c r="B85" s="4">
        <v>221.39999999999998</v>
      </c>
      <c r="C85" s="5">
        <f t="shared" si="3"/>
        <v>295.2</v>
      </c>
      <c r="D85" s="16">
        <f t="shared" si="4"/>
        <v>442.79999999999995</v>
      </c>
      <c r="E85" s="18">
        <f t="shared" si="5"/>
        <v>193.28219999999999</v>
      </c>
    </row>
    <row r="86" spans="1:5" x14ac:dyDescent="0.2">
      <c r="A86" s="3" t="s">
        <v>88</v>
      </c>
      <c r="B86" s="4">
        <v>184.5</v>
      </c>
      <c r="C86" s="5">
        <f t="shared" si="3"/>
        <v>246</v>
      </c>
      <c r="D86" s="16">
        <f t="shared" si="4"/>
        <v>369</v>
      </c>
      <c r="E86" s="18">
        <f t="shared" si="5"/>
        <v>161.0685</v>
      </c>
    </row>
    <row r="87" spans="1:5" x14ac:dyDescent="0.2">
      <c r="A87" s="3" t="s">
        <v>89</v>
      </c>
      <c r="B87" s="4">
        <v>10.050000000000001</v>
      </c>
      <c r="C87" s="5">
        <f t="shared" si="3"/>
        <v>13.4</v>
      </c>
      <c r="D87" s="16">
        <f t="shared" si="4"/>
        <v>20.100000000000001</v>
      </c>
      <c r="E87" s="18">
        <f t="shared" si="5"/>
        <v>8.7736499999999999</v>
      </c>
    </row>
    <row r="88" spans="1:5" x14ac:dyDescent="0.2">
      <c r="A88" s="3" t="s">
        <v>90</v>
      </c>
      <c r="B88" s="4">
        <v>4.3500000000000005</v>
      </c>
      <c r="C88" s="5">
        <f t="shared" si="3"/>
        <v>5.8000000000000007</v>
      </c>
      <c r="D88" s="16">
        <f t="shared" si="4"/>
        <v>8.7000000000000011</v>
      </c>
      <c r="E88" s="18">
        <f t="shared" si="5"/>
        <v>3.7975500000000006</v>
      </c>
    </row>
    <row r="89" spans="1:5" x14ac:dyDescent="0.2">
      <c r="A89" s="3" t="s">
        <v>91</v>
      </c>
      <c r="B89" s="4">
        <v>4.3500000000000005</v>
      </c>
      <c r="C89" s="5">
        <f t="shared" si="3"/>
        <v>5.8000000000000007</v>
      </c>
      <c r="D89" s="16">
        <f t="shared" si="4"/>
        <v>8.7000000000000011</v>
      </c>
      <c r="E89" s="18">
        <f t="shared" si="5"/>
        <v>3.7975500000000006</v>
      </c>
    </row>
    <row r="90" spans="1:5" x14ac:dyDescent="0.2">
      <c r="A90" s="3" t="s">
        <v>92</v>
      </c>
      <c r="B90" s="4">
        <v>5.1000000000000005</v>
      </c>
      <c r="C90" s="5">
        <f t="shared" si="3"/>
        <v>6.8000000000000007</v>
      </c>
      <c r="D90" s="16">
        <f t="shared" si="4"/>
        <v>10.200000000000001</v>
      </c>
      <c r="E90" s="18">
        <f t="shared" si="5"/>
        <v>4.4523000000000001</v>
      </c>
    </row>
    <row r="91" spans="1:5" x14ac:dyDescent="0.2">
      <c r="A91" s="3" t="s">
        <v>93</v>
      </c>
      <c r="B91" s="4">
        <v>5.1000000000000005</v>
      </c>
      <c r="C91" s="5">
        <f t="shared" si="3"/>
        <v>6.8000000000000007</v>
      </c>
      <c r="D91" s="16">
        <f t="shared" si="4"/>
        <v>10.200000000000001</v>
      </c>
      <c r="E91" s="18">
        <f t="shared" si="5"/>
        <v>4.4523000000000001</v>
      </c>
    </row>
    <row r="92" spans="1:5" x14ac:dyDescent="0.2">
      <c r="A92" s="3" t="s">
        <v>94</v>
      </c>
      <c r="B92" s="4">
        <v>12.600000000000001</v>
      </c>
      <c r="C92" s="5">
        <f t="shared" si="3"/>
        <v>16.8</v>
      </c>
      <c r="D92" s="16">
        <f t="shared" si="4"/>
        <v>25.200000000000003</v>
      </c>
      <c r="E92" s="18">
        <f t="shared" si="5"/>
        <v>10.9998</v>
      </c>
    </row>
    <row r="93" spans="1:5" x14ac:dyDescent="0.2">
      <c r="A93" s="3" t="s">
        <v>95</v>
      </c>
      <c r="B93" s="4">
        <v>12.600000000000001</v>
      </c>
      <c r="C93" s="5">
        <f t="shared" si="3"/>
        <v>16.8</v>
      </c>
      <c r="D93" s="16">
        <f t="shared" si="4"/>
        <v>25.200000000000003</v>
      </c>
      <c r="E93" s="18">
        <f t="shared" si="5"/>
        <v>10.9998</v>
      </c>
    </row>
    <row r="94" spans="1:5" x14ac:dyDescent="0.2">
      <c r="A94" s="3" t="s">
        <v>96</v>
      </c>
      <c r="B94" s="4">
        <v>13.200000000000001</v>
      </c>
      <c r="C94" s="5">
        <f t="shared" si="3"/>
        <v>17.600000000000001</v>
      </c>
      <c r="D94" s="16">
        <f t="shared" si="4"/>
        <v>26.400000000000002</v>
      </c>
      <c r="E94" s="18">
        <f t="shared" si="5"/>
        <v>11.5236</v>
      </c>
    </row>
    <row r="95" spans="1:5" x14ac:dyDescent="0.2">
      <c r="A95" s="3" t="s">
        <v>97</v>
      </c>
      <c r="B95" s="4">
        <v>13.200000000000001</v>
      </c>
      <c r="C95" s="5">
        <f t="shared" si="3"/>
        <v>17.600000000000001</v>
      </c>
      <c r="D95" s="16">
        <f t="shared" si="4"/>
        <v>26.400000000000002</v>
      </c>
      <c r="E95" s="18">
        <f t="shared" si="5"/>
        <v>11.5236</v>
      </c>
    </row>
    <row r="96" spans="1:5" x14ac:dyDescent="0.2">
      <c r="A96" s="3" t="s">
        <v>98</v>
      </c>
      <c r="B96" s="4">
        <v>10.8</v>
      </c>
      <c r="C96" s="5">
        <f t="shared" si="3"/>
        <v>14.4</v>
      </c>
      <c r="D96" s="16">
        <f t="shared" si="4"/>
        <v>21.6</v>
      </c>
      <c r="E96" s="18">
        <f t="shared" si="5"/>
        <v>9.4283999999999999</v>
      </c>
    </row>
    <row r="97" spans="1:5" x14ac:dyDescent="0.2">
      <c r="A97" s="3" t="s">
        <v>99</v>
      </c>
      <c r="B97" s="4">
        <v>10.8</v>
      </c>
      <c r="C97" s="5">
        <f t="shared" si="3"/>
        <v>14.4</v>
      </c>
      <c r="D97" s="16">
        <f t="shared" si="4"/>
        <v>21.6</v>
      </c>
      <c r="E97" s="18">
        <f t="shared" si="5"/>
        <v>9.4283999999999999</v>
      </c>
    </row>
    <row r="98" spans="1:5" x14ac:dyDescent="0.2">
      <c r="A98" s="3" t="s">
        <v>100</v>
      </c>
      <c r="B98" s="4">
        <v>11.100000000000001</v>
      </c>
      <c r="C98" s="5">
        <f t="shared" si="3"/>
        <v>14.800000000000002</v>
      </c>
      <c r="D98" s="16">
        <f t="shared" si="4"/>
        <v>22.200000000000003</v>
      </c>
      <c r="E98" s="18">
        <f t="shared" si="5"/>
        <v>9.6903000000000006</v>
      </c>
    </row>
    <row r="99" spans="1:5" x14ac:dyDescent="0.2">
      <c r="A99" s="3" t="s">
        <v>101</v>
      </c>
      <c r="B99" s="4">
        <v>11.100000000000001</v>
      </c>
      <c r="C99" s="5">
        <f t="shared" si="3"/>
        <v>14.800000000000002</v>
      </c>
      <c r="D99" s="16">
        <f t="shared" si="4"/>
        <v>22.200000000000003</v>
      </c>
      <c r="E99" s="18">
        <f t="shared" si="5"/>
        <v>9.6903000000000006</v>
      </c>
    </row>
    <row r="100" spans="1:5" x14ac:dyDescent="0.2">
      <c r="A100" s="3" t="s">
        <v>102</v>
      </c>
      <c r="B100" s="4">
        <v>28.800000000000004</v>
      </c>
      <c r="C100" s="5">
        <f t="shared" si="3"/>
        <v>38.400000000000006</v>
      </c>
      <c r="D100" s="16">
        <f t="shared" si="4"/>
        <v>57.600000000000009</v>
      </c>
      <c r="E100" s="18">
        <f t="shared" si="5"/>
        <v>25.142400000000002</v>
      </c>
    </row>
    <row r="101" spans="1:5" x14ac:dyDescent="0.2">
      <c r="A101" s="3" t="s">
        <v>103</v>
      </c>
      <c r="B101" s="4">
        <v>28.800000000000004</v>
      </c>
      <c r="C101" s="5">
        <f t="shared" si="3"/>
        <v>38.400000000000006</v>
      </c>
      <c r="D101" s="16">
        <f t="shared" si="4"/>
        <v>57.600000000000009</v>
      </c>
      <c r="E101" s="18">
        <f t="shared" si="5"/>
        <v>25.142400000000002</v>
      </c>
    </row>
    <row r="102" spans="1:5" x14ac:dyDescent="0.2">
      <c r="A102" s="3" t="s">
        <v>104</v>
      </c>
      <c r="B102" s="4">
        <v>5.8500000000000005</v>
      </c>
      <c r="C102" s="5">
        <f t="shared" si="3"/>
        <v>7.8000000000000007</v>
      </c>
      <c r="D102" s="16">
        <f t="shared" si="4"/>
        <v>11.700000000000001</v>
      </c>
      <c r="E102" s="18">
        <f t="shared" si="5"/>
        <v>5.1070500000000001</v>
      </c>
    </row>
    <row r="103" spans="1:5" x14ac:dyDescent="0.2">
      <c r="A103" s="3" t="s">
        <v>105</v>
      </c>
      <c r="B103" s="4">
        <v>6.3000000000000007</v>
      </c>
      <c r="C103" s="5">
        <f t="shared" si="3"/>
        <v>8.4</v>
      </c>
      <c r="D103" s="16">
        <f t="shared" si="4"/>
        <v>12.600000000000001</v>
      </c>
      <c r="E103" s="18">
        <f t="shared" si="5"/>
        <v>5.4999000000000002</v>
      </c>
    </row>
    <row r="104" spans="1:5" x14ac:dyDescent="0.2">
      <c r="A104" s="3" t="s">
        <v>106</v>
      </c>
      <c r="B104" s="4">
        <v>4.95</v>
      </c>
      <c r="C104" s="5">
        <f t="shared" si="3"/>
        <v>6.6000000000000005</v>
      </c>
      <c r="D104" s="16">
        <f t="shared" si="4"/>
        <v>9.9</v>
      </c>
      <c r="E104" s="18">
        <f t="shared" si="5"/>
        <v>4.3213499999999998</v>
      </c>
    </row>
    <row r="105" spans="1:5" x14ac:dyDescent="0.2">
      <c r="A105" s="3" t="s">
        <v>107</v>
      </c>
      <c r="B105" s="4">
        <v>4.95</v>
      </c>
      <c r="C105" s="5">
        <f t="shared" si="3"/>
        <v>6.6000000000000005</v>
      </c>
      <c r="D105" s="16">
        <f t="shared" si="4"/>
        <v>9.9</v>
      </c>
      <c r="E105" s="18">
        <f t="shared" si="5"/>
        <v>4.3213499999999998</v>
      </c>
    </row>
    <row r="106" spans="1:5" x14ac:dyDescent="0.2">
      <c r="A106" s="3" t="s">
        <v>108</v>
      </c>
      <c r="B106" s="4">
        <v>5.8500000000000005</v>
      </c>
      <c r="C106" s="5">
        <f t="shared" si="3"/>
        <v>7.8000000000000007</v>
      </c>
      <c r="D106" s="16">
        <f t="shared" si="4"/>
        <v>11.700000000000001</v>
      </c>
      <c r="E106" s="18">
        <f t="shared" si="5"/>
        <v>5.1070500000000001</v>
      </c>
    </row>
    <row r="107" spans="1:5" x14ac:dyDescent="0.2">
      <c r="A107" s="3" t="s">
        <v>109</v>
      </c>
      <c r="B107" s="4">
        <v>5.8500000000000005</v>
      </c>
      <c r="C107" s="5">
        <f t="shared" si="3"/>
        <v>7.8000000000000007</v>
      </c>
      <c r="D107" s="16">
        <f t="shared" si="4"/>
        <v>11.700000000000001</v>
      </c>
      <c r="E107" s="18">
        <f t="shared" si="5"/>
        <v>5.1070500000000001</v>
      </c>
    </row>
    <row r="108" spans="1:5" x14ac:dyDescent="0.2">
      <c r="A108" s="3" t="s">
        <v>110</v>
      </c>
      <c r="B108" s="4">
        <v>7.3500000000000005</v>
      </c>
      <c r="C108" s="5">
        <f t="shared" si="3"/>
        <v>9.8000000000000007</v>
      </c>
      <c r="D108" s="16">
        <f t="shared" si="4"/>
        <v>14.700000000000001</v>
      </c>
      <c r="E108" s="18">
        <f t="shared" si="5"/>
        <v>6.4165500000000009</v>
      </c>
    </row>
    <row r="109" spans="1:5" x14ac:dyDescent="0.2">
      <c r="A109" s="3" t="s">
        <v>111</v>
      </c>
      <c r="B109" s="4">
        <v>7.3500000000000005</v>
      </c>
      <c r="C109" s="5">
        <f t="shared" si="3"/>
        <v>9.8000000000000007</v>
      </c>
      <c r="D109" s="16">
        <f t="shared" si="4"/>
        <v>14.700000000000001</v>
      </c>
      <c r="E109" s="18">
        <f t="shared" si="5"/>
        <v>6.4165500000000009</v>
      </c>
    </row>
    <row r="110" spans="1:5" x14ac:dyDescent="0.2">
      <c r="A110" s="3" t="s">
        <v>112</v>
      </c>
      <c r="B110" s="4">
        <v>9.15</v>
      </c>
      <c r="C110" s="5">
        <f t="shared" si="3"/>
        <v>12.200000000000001</v>
      </c>
      <c r="D110" s="16">
        <f t="shared" si="4"/>
        <v>18.3</v>
      </c>
      <c r="E110" s="18">
        <f t="shared" si="5"/>
        <v>7.9879500000000005</v>
      </c>
    </row>
    <row r="111" spans="1:5" x14ac:dyDescent="0.2">
      <c r="A111" s="3" t="s">
        <v>113</v>
      </c>
      <c r="B111" s="4">
        <v>9.15</v>
      </c>
      <c r="C111" s="5">
        <f t="shared" si="3"/>
        <v>12.200000000000001</v>
      </c>
      <c r="D111" s="16">
        <f t="shared" si="4"/>
        <v>18.3</v>
      </c>
      <c r="E111" s="18">
        <f t="shared" si="5"/>
        <v>7.9879500000000005</v>
      </c>
    </row>
    <row r="112" spans="1:5" x14ac:dyDescent="0.2">
      <c r="A112" s="3" t="s">
        <v>114</v>
      </c>
      <c r="B112" s="4">
        <v>13.5</v>
      </c>
      <c r="C112" s="5">
        <f t="shared" si="3"/>
        <v>18</v>
      </c>
      <c r="D112" s="16">
        <f t="shared" si="4"/>
        <v>27</v>
      </c>
      <c r="E112" s="18">
        <f t="shared" si="5"/>
        <v>11.785500000000001</v>
      </c>
    </row>
    <row r="113" spans="1:5" x14ac:dyDescent="0.2">
      <c r="A113" s="3" t="s">
        <v>115</v>
      </c>
      <c r="B113" s="4">
        <v>13.5</v>
      </c>
      <c r="C113" s="5">
        <f t="shared" si="3"/>
        <v>18</v>
      </c>
      <c r="D113" s="16">
        <f t="shared" si="4"/>
        <v>27</v>
      </c>
      <c r="E113" s="18">
        <f t="shared" si="5"/>
        <v>11.785500000000001</v>
      </c>
    </row>
    <row r="114" spans="1:5" x14ac:dyDescent="0.2">
      <c r="A114" s="3" t="s">
        <v>116</v>
      </c>
      <c r="B114" s="4">
        <v>11.700000000000001</v>
      </c>
      <c r="C114" s="5">
        <f t="shared" si="3"/>
        <v>15.600000000000001</v>
      </c>
      <c r="D114" s="16">
        <f t="shared" si="4"/>
        <v>23.400000000000002</v>
      </c>
      <c r="E114" s="18">
        <f t="shared" si="5"/>
        <v>10.2141</v>
      </c>
    </row>
    <row r="115" spans="1:5" x14ac:dyDescent="0.2">
      <c r="A115" s="3" t="s">
        <v>117</v>
      </c>
      <c r="B115" s="4">
        <v>139.05000000000001</v>
      </c>
      <c r="C115" s="5">
        <f t="shared" si="3"/>
        <v>185.4</v>
      </c>
      <c r="D115" s="16">
        <f t="shared" si="4"/>
        <v>278.10000000000002</v>
      </c>
      <c r="E115" s="18">
        <f t="shared" si="5"/>
        <v>121.39065000000001</v>
      </c>
    </row>
    <row r="116" spans="1:5" x14ac:dyDescent="0.2">
      <c r="A116" s="3" t="s">
        <v>118</v>
      </c>
      <c r="B116" s="4">
        <v>139.05000000000001</v>
      </c>
      <c r="C116" s="5">
        <f t="shared" si="3"/>
        <v>185.4</v>
      </c>
      <c r="D116" s="16">
        <f t="shared" si="4"/>
        <v>278.10000000000002</v>
      </c>
      <c r="E116" s="18">
        <f t="shared" si="5"/>
        <v>121.39065000000001</v>
      </c>
    </row>
    <row r="117" spans="1:5" x14ac:dyDescent="0.2">
      <c r="A117" s="3" t="s">
        <v>119</v>
      </c>
      <c r="B117" s="4">
        <v>73.2</v>
      </c>
      <c r="C117" s="5">
        <f t="shared" si="3"/>
        <v>97.600000000000009</v>
      </c>
      <c r="D117" s="16">
        <f t="shared" si="4"/>
        <v>146.4</v>
      </c>
      <c r="E117" s="18">
        <f t="shared" si="5"/>
        <v>63.903600000000004</v>
      </c>
    </row>
    <row r="118" spans="1:5" x14ac:dyDescent="0.2">
      <c r="A118" s="3" t="s">
        <v>120</v>
      </c>
      <c r="B118" s="4">
        <v>239.85000000000002</v>
      </c>
      <c r="C118" s="5">
        <f t="shared" si="3"/>
        <v>319.8</v>
      </c>
      <c r="D118" s="16">
        <f t="shared" si="4"/>
        <v>479.70000000000005</v>
      </c>
      <c r="E118" s="18">
        <f t="shared" si="5"/>
        <v>209.38905000000003</v>
      </c>
    </row>
    <row r="119" spans="1:5" x14ac:dyDescent="0.2">
      <c r="A119" s="3" t="s">
        <v>121</v>
      </c>
      <c r="B119" s="4">
        <v>39.300000000000004</v>
      </c>
      <c r="C119" s="5">
        <f t="shared" si="3"/>
        <v>52.400000000000006</v>
      </c>
      <c r="D119" s="16">
        <f t="shared" si="4"/>
        <v>78.600000000000009</v>
      </c>
      <c r="E119" s="18">
        <f t="shared" si="5"/>
        <v>34.308900000000001</v>
      </c>
    </row>
    <row r="120" spans="1:5" x14ac:dyDescent="0.2">
      <c r="A120" s="3" t="s">
        <v>122</v>
      </c>
      <c r="B120" s="4">
        <v>34.5</v>
      </c>
      <c r="C120" s="5">
        <f t="shared" si="3"/>
        <v>46</v>
      </c>
      <c r="D120" s="16">
        <f t="shared" si="4"/>
        <v>69</v>
      </c>
      <c r="E120" s="18">
        <f t="shared" si="5"/>
        <v>30.118500000000001</v>
      </c>
    </row>
    <row r="121" spans="1:5" x14ac:dyDescent="0.2">
      <c r="A121" s="3" t="s">
        <v>123</v>
      </c>
      <c r="B121" s="4">
        <v>53.849999999999994</v>
      </c>
      <c r="C121" s="5">
        <f t="shared" si="3"/>
        <v>71.8</v>
      </c>
      <c r="D121" s="16">
        <f t="shared" si="4"/>
        <v>107.69999999999999</v>
      </c>
      <c r="E121" s="18">
        <f t="shared" si="5"/>
        <v>47.011049999999997</v>
      </c>
    </row>
    <row r="122" spans="1:5" x14ac:dyDescent="0.2">
      <c r="A122" s="3" t="s">
        <v>124</v>
      </c>
      <c r="B122" s="6" t="e">
        <v>#VALUE!</v>
      </c>
      <c r="C122" s="5" t="e">
        <f t="shared" si="3"/>
        <v>#VALUE!</v>
      </c>
      <c r="D122" s="16" t="e">
        <f t="shared" si="4"/>
        <v>#VALUE!</v>
      </c>
      <c r="E122" s="18" t="e">
        <f t="shared" si="5"/>
        <v>#VALUE!</v>
      </c>
    </row>
    <row r="123" spans="1:5" x14ac:dyDescent="0.2">
      <c r="A123" s="3" t="s">
        <v>125</v>
      </c>
      <c r="B123" s="4">
        <v>107.55000000000001</v>
      </c>
      <c r="C123" s="5">
        <f t="shared" si="3"/>
        <v>143.4</v>
      </c>
      <c r="D123" s="16">
        <f t="shared" si="4"/>
        <v>215.10000000000002</v>
      </c>
      <c r="E123" s="18">
        <f t="shared" si="5"/>
        <v>93.89115000000001</v>
      </c>
    </row>
    <row r="124" spans="1:5" x14ac:dyDescent="0.2">
      <c r="A124" s="3" t="s">
        <v>126</v>
      </c>
      <c r="B124" s="4">
        <v>20.700000000000003</v>
      </c>
      <c r="C124" s="5">
        <f t="shared" si="3"/>
        <v>27.600000000000005</v>
      </c>
      <c r="D124" s="16">
        <f t="shared" si="4"/>
        <v>41.400000000000006</v>
      </c>
      <c r="E124" s="18">
        <f t="shared" si="5"/>
        <v>18.071100000000001</v>
      </c>
    </row>
    <row r="125" spans="1:5" x14ac:dyDescent="0.2">
      <c r="A125" s="3" t="s">
        <v>127</v>
      </c>
      <c r="B125" s="4">
        <v>22.05</v>
      </c>
      <c r="C125" s="5">
        <f t="shared" si="3"/>
        <v>29.400000000000002</v>
      </c>
      <c r="D125" s="16">
        <f t="shared" si="4"/>
        <v>44.1</v>
      </c>
      <c r="E125" s="18">
        <f t="shared" si="5"/>
        <v>19.249649999999999</v>
      </c>
    </row>
    <row r="126" spans="1:5" x14ac:dyDescent="0.2">
      <c r="A126" s="3" t="s">
        <v>128</v>
      </c>
      <c r="B126" s="4">
        <v>19.8</v>
      </c>
      <c r="C126" s="5">
        <f t="shared" si="3"/>
        <v>26.400000000000002</v>
      </c>
      <c r="D126" s="16">
        <f t="shared" si="4"/>
        <v>39.6</v>
      </c>
      <c r="E126" s="18">
        <f t="shared" si="5"/>
        <v>17.285399999999999</v>
      </c>
    </row>
    <row r="127" spans="1:5" x14ac:dyDescent="0.2">
      <c r="A127" s="3" t="s">
        <v>129</v>
      </c>
      <c r="B127" s="6" t="e">
        <v>#VALUE!</v>
      </c>
      <c r="C127" s="5" t="e">
        <f t="shared" si="3"/>
        <v>#VALUE!</v>
      </c>
      <c r="D127" s="16" t="e">
        <f t="shared" si="4"/>
        <v>#VALUE!</v>
      </c>
      <c r="E127" s="18" t="e">
        <f t="shared" si="5"/>
        <v>#VALUE!</v>
      </c>
    </row>
    <row r="128" spans="1:5" x14ac:dyDescent="0.2">
      <c r="A128" s="7" t="s">
        <v>130</v>
      </c>
      <c r="B128" s="4">
        <v>83.7</v>
      </c>
      <c r="C128" s="5">
        <f t="shared" si="3"/>
        <v>111.60000000000001</v>
      </c>
      <c r="D128" s="16">
        <f t="shared" si="4"/>
        <v>167.4</v>
      </c>
      <c r="E128" s="18">
        <f t="shared" si="5"/>
        <v>73.070099999999996</v>
      </c>
    </row>
    <row r="129" spans="1:5" x14ac:dyDescent="0.2">
      <c r="A129" s="3" t="s">
        <v>131</v>
      </c>
      <c r="B129" s="4">
        <v>76.5</v>
      </c>
      <c r="C129" s="5">
        <f t="shared" si="3"/>
        <v>102</v>
      </c>
      <c r="D129" s="16">
        <f t="shared" si="4"/>
        <v>153</v>
      </c>
      <c r="E129" s="18">
        <f t="shared" si="5"/>
        <v>66.784499999999994</v>
      </c>
    </row>
    <row r="130" spans="1:5" x14ac:dyDescent="0.2">
      <c r="A130" s="3" t="s">
        <v>132</v>
      </c>
      <c r="B130" s="4">
        <v>21.900000000000002</v>
      </c>
      <c r="C130" s="5">
        <f t="shared" si="3"/>
        <v>29.200000000000003</v>
      </c>
      <c r="D130" s="16">
        <f t="shared" si="4"/>
        <v>43.800000000000004</v>
      </c>
      <c r="E130" s="18">
        <f t="shared" si="5"/>
        <v>19.1187</v>
      </c>
    </row>
    <row r="131" spans="1:5" x14ac:dyDescent="0.2">
      <c r="A131" s="3" t="s">
        <v>133</v>
      </c>
      <c r="B131" s="4">
        <v>24.6</v>
      </c>
      <c r="C131" s="5">
        <f t="shared" ref="C131:C194" si="6">B131/0.75</f>
        <v>32.800000000000004</v>
      </c>
      <c r="D131" s="16">
        <f t="shared" ref="D131:D194" si="7">B131*2</f>
        <v>49.2</v>
      </c>
      <c r="E131" s="18">
        <f t="shared" ref="E131:E194" si="8">B131*0.873</f>
        <v>21.4758</v>
      </c>
    </row>
    <row r="132" spans="1:5" x14ac:dyDescent="0.2">
      <c r="A132" s="3" t="s">
        <v>134</v>
      </c>
      <c r="B132" s="4">
        <v>67.5</v>
      </c>
      <c r="C132" s="5">
        <f t="shared" si="6"/>
        <v>90</v>
      </c>
      <c r="D132" s="16">
        <f t="shared" si="7"/>
        <v>135</v>
      </c>
      <c r="E132" s="18">
        <f t="shared" si="8"/>
        <v>58.927500000000002</v>
      </c>
    </row>
    <row r="133" spans="1:5" x14ac:dyDescent="0.2">
      <c r="A133" s="3" t="s">
        <v>135</v>
      </c>
      <c r="B133" s="4">
        <v>96.449999999999989</v>
      </c>
      <c r="C133" s="5">
        <f t="shared" si="6"/>
        <v>128.6</v>
      </c>
      <c r="D133" s="16">
        <f t="shared" si="7"/>
        <v>192.89999999999998</v>
      </c>
      <c r="E133" s="18">
        <f t="shared" si="8"/>
        <v>84.200849999999988</v>
      </c>
    </row>
    <row r="134" spans="1:5" x14ac:dyDescent="0.2">
      <c r="A134" s="3" t="s">
        <v>136</v>
      </c>
      <c r="B134" s="4">
        <v>97.65</v>
      </c>
      <c r="C134" s="5">
        <f t="shared" si="6"/>
        <v>130.20000000000002</v>
      </c>
      <c r="D134" s="16">
        <f t="shared" si="7"/>
        <v>195.3</v>
      </c>
      <c r="E134" s="18">
        <f t="shared" si="8"/>
        <v>85.248450000000005</v>
      </c>
    </row>
    <row r="135" spans="1:5" x14ac:dyDescent="0.2">
      <c r="A135" s="3" t="s">
        <v>137</v>
      </c>
      <c r="B135" s="4">
        <v>85.050000000000011</v>
      </c>
      <c r="C135" s="5">
        <f t="shared" si="6"/>
        <v>113.40000000000002</v>
      </c>
      <c r="D135" s="16">
        <f t="shared" si="7"/>
        <v>170.10000000000002</v>
      </c>
      <c r="E135" s="18">
        <f t="shared" si="8"/>
        <v>74.248650000000012</v>
      </c>
    </row>
    <row r="136" spans="1:5" x14ac:dyDescent="0.2">
      <c r="A136" s="3" t="s">
        <v>138</v>
      </c>
      <c r="B136" s="4">
        <v>32.550000000000004</v>
      </c>
      <c r="C136" s="5">
        <f t="shared" si="6"/>
        <v>43.400000000000006</v>
      </c>
      <c r="D136" s="16">
        <f t="shared" si="7"/>
        <v>65.100000000000009</v>
      </c>
      <c r="E136" s="18">
        <f t="shared" si="8"/>
        <v>28.416150000000005</v>
      </c>
    </row>
    <row r="137" spans="1:5" x14ac:dyDescent="0.2">
      <c r="A137" s="3" t="s">
        <v>139</v>
      </c>
      <c r="B137" s="4">
        <v>43.35</v>
      </c>
      <c r="C137" s="5">
        <f t="shared" si="6"/>
        <v>57.800000000000004</v>
      </c>
      <c r="D137" s="16">
        <f t="shared" si="7"/>
        <v>86.7</v>
      </c>
      <c r="E137" s="18">
        <f t="shared" si="8"/>
        <v>37.844549999999998</v>
      </c>
    </row>
    <row r="138" spans="1:5" x14ac:dyDescent="0.2">
      <c r="A138" s="3" t="s">
        <v>140</v>
      </c>
      <c r="B138" s="4">
        <v>56.849999999999994</v>
      </c>
      <c r="C138" s="5">
        <f t="shared" si="6"/>
        <v>75.8</v>
      </c>
      <c r="D138" s="16">
        <f t="shared" si="7"/>
        <v>113.69999999999999</v>
      </c>
      <c r="E138" s="18">
        <f t="shared" si="8"/>
        <v>49.630049999999997</v>
      </c>
    </row>
    <row r="139" spans="1:5" x14ac:dyDescent="0.2">
      <c r="A139" s="3" t="s">
        <v>141</v>
      </c>
      <c r="B139" s="4">
        <v>175.95000000000002</v>
      </c>
      <c r="C139" s="5">
        <f t="shared" si="6"/>
        <v>234.60000000000002</v>
      </c>
      <c r="D139" s="16">
        <f t="shared" si="7"/>
        <v>351.90000000000003</v>
      </c>
      <c r="E139" s="18">
        <f t="shared" si="8"/>
        <v>153.60435000000001</v>
      </c>
    </row>
    <row r="140" spans="1:5" x14ac:dyDescent="0.2">
      <c r="A140" s="3" t="s">
        <v>142</v>
      </c>
      <c r="B140" s="4">
        <v>219.60000000000002</v>
      </c>
      <c r="C140" s="5">
        <f t="shared" si="6"/>
        <v>292.8</v>
      </c>
      <c r="D140" s="16">
        <f t="shared" si="7"/>
        <v>439.20000000000005</v>
      </c>
      <c r="E140" s="18">
        <f t="shared" si="8"/>
        <v>191.71080000000001</v>
      </c>
    </row>
    <row r="141" spans="1:5" x14ac:dyDescent="0.2">
      <c r="A141" s="3" t="s">
        <v>143</v>
      </c>
      <c r="B141" s="4">
        <v>25.35</v>
      </c>
      <c r="C141" s="5">
        <f t="shared" si="6"/>
        <v>33.800000000000004</v>
      </c>
      <c r="D141" s="16">
        <f t="shared" si="7"/>
        <v>50.7</v>
      </c>
      <c r="E141" s="18">
        <f t="shared" si="8"/>
        <v>22.130549999999999</v>
      </c>
    </row>
    <row r="142" spans="1:5" x14ac:dyDescent="0.2">
      <c r="A142" s="3" t="s">
        <v>144</v>
      </c>
      <c r="B142" s="4">
        <v>22.5</v>
      </c>
      <c r="C142" s="5">
        <f t="shared" si="6"/>
        <v>30</v>
      </c>
      <c r="D142" s="16">
        <f t="shared" si="7"/>
        <v>45</v>
      </c>
      <c r="E142" s="18">
        <f t="shared" si="8"/>
        <v>19.642499999999998</v>
      </c>
    </row>
    <row r="143" spans="1:5" x14ac:dyDescent="0.2">
      <c r="A143" s="3" t="s">
        <v>145</v>
      </c>
      <c r="B143" s="4">
        <v>29.25</v>
      </c>
      <c r="C143" s="5">
        <f t="shared" si="6"/>
        <v>39</v>
      </c>
      <c r="D143" s="16">
        <f t="shared" si="7"/>
        <v>58.5</v>
      </c>
      <c r="E143" s="18">
        <f t="shared" si="8"/>
        <v>25.535250000000001</v>
      </c>
    </row>
    <row r="144" spans="1:5" x14ac:dyDescent="0.2">
      <c r="A144" s="3" t="s">
        <v>146</v>
      </c>
      <c r="B144" s="4">
        <v>60</v>
      </c>
      <c r="C144" s="5">
        <f t="shared" si="6"/>
        <v>80</v>
      </c>
      <c r="D144" s="16">
        <f t="shared" si="7"/>
        <v>120</v>
      </c>
      <c r="E144" s="18">
        <f t="shared" si="8"/>
        <v>52.38</v>
      </c>
    </row>
    <row r="145" spans="1:5" x14ac:dyDescent="0.2">
      <c r="A145" s="3" t="s">
        <v>147</v>
      </c>
      <c r="B145" s="4">
        <v>19.950000000000003</v>
      </c>
      <c r="C145" s="5">
        <f t="shared" si="6"/>
        <v>26.600000000000005</v>
      </c>
      <c r="D145" s="16">
        <f t="shared" si="7"/>
        <v>39.900000000000006</v>
      </c>
      <c r="E145" s="18">
        <f t="shared" si="8"/>
        <v>17.416350000000001</v>
      </c>
    </row>
    <row r="146" spans="1:5" x14ac:dyDescent="0.2">
      <c r="A146" s="3" t="s">
        <v>148</v>
      </c>
      <c r="B146" s="4">
        <v>51</v>
      </c>
      <c r="C146" s="5">
        <f t="shared" si="6"/>
        <v>68</v>
      </c>
      <c r="D146" s="16">
        <f t="shared" si="7"/>
        <v>102</v>
      </c>
      <c r="E146" s="18">
        <f t="shared" si="8"/>
        <v>44.523000000000003</v>
      </c>
    </row>
    <row r="147" spans="1:5" x14ac:dyDescent="0.2">
      <c r="A147" s="3" t="s">
        <v>149</v>
      </c>
      <c r="B147" s="4">
        <v>54.300000000000004</v>
      </c>
      <c r="C147" s="5">
        <f t="shared" si="6"/>
        <v>72.400000000000006</v>
      </c>
      <c r="D147" s="16">
        <f t="shared" si="7"/>
        <v>108.60000000000001</v>
      </c>
      <c r="E147" s="18">
        <f t="shared" si="8"/>
        <v>47.4039</v>
      </c>
    </row>
    <row r="148" spans="1:5" x14ac:dyDescent="0.2">
      <c r="A148" s="3" t="s">
        <v>150</v>
      </c>
      <c r="B148" s="4">
        <v>25.950000000000003</v>
      </c>
      <c r="C148" s="5">
        <f t="shared" si="6"/>
        <v>34.6</v>
      </c>
      <c r="D148" s="16">
        <f t="shared" si="7"/>
        <v>51.900000000000006</v>
      </c>
      <c r="E148" s="18">
        <f t="shared" si="8"/>
        <v>22.654350000000001</v>
      </c>
    </row>
    <row r="149" spans="1:5" x14ac:dyDescent="0.2">
      <c r="A149" s="3" t="s">
        <v>151</v>
      </c>
      <c r="B149" s="4">
        <v>27.6</v>
      </c>
      <c r="C149" s="5">
        <f t="shared" si="6"/>
        <v>36.800000000000004</v>
      </c>
      <c r="D149" s="16">
        <f t="shared" si="7"/>
        <v>55.2</v>
      </c>
      <c r="E149" s="18">
        <f t="shared" si="8"/>
        <v>24.094800000000003</v>
      </c>
    </row>
    <row r="150" spans="1:5" x14ac:dyDescent="0.2">
      <c r="A150" s="3" t="s">
        <v>152</v>
      </c>
      <c r="B150" s="4">
        <v>21.150000000000002</v>
      </c>
      <c r="C150" s="5">
        <f t="shared" si="6"/>
        <v>28.200000000000003</v>
      </c>
      <c r="D150" s="16">
        <f t="shared" si="7"/>
        <v>42.300000000000004</v>
      </c>
      <c r="E150" s="18">
        <f t="shared" si="8"/>
        <v>18.463950000000001</v>
      </c>
    </row>
    <row r="151" spans="1:5" x14ac:dyDescent="0.2">
      <c r="A151" s="3" t="s">
        <v>153</v>
      </c>
      <c r="B151" s="4">
        <v>127.35000000000001</v>
      </c>
      <c r="C151" s="5">
        <f t="shared" si="6"/>
        <v>169.8</v>
      </c>
      <c r="D151" s="16">
        <f t="shared" si="7"/>
        <v>254.70000000000002</v>
      </c>
      <c r="E151" s="18">
        <f t="shared" si="8"/>
        <v>111.17655000000001</v>
      </c>
    </row>
    <row r="152" spans="1:5" x14ac:dyDescent="0.2">
      <c r="A152" s="3" t="s">
        <v>154</v>
      </c>
      <c r="B152" s="4">
        <v>66</v>
      </c>
      <c r="C152" s="5">
        <f t="shared" si="6"/>
        <v>88</v>
      </c>
      <c r="D152" s="16">
        <f t="shared" si="7"/>
        <v>132</v>
      </c>
      <c r="E152" s="18">
        <f t="shared" si="8"/>
        <v>57.618000000000002</v>
      </c>
    </row>
    <row r="153" spans="1:5" x14ac:dyDescent="0.2">
      <c r="A153" s="3" t="s">
        <v>155</v>
      </c>
      <c r="B153" s="4">
        <v>71.7</v>
      </c>
      <c r="C153" s="5">
        <f t="shared" si="6"/>
        <v>95.600000000000009</v>
      </c>
      <c r="D153" s="16">
        <f t="shared" si="7"/>
        <v>143.4</v>
      </c>
      <c r="E153" s="18">
        <f t="shared" si="8"/>
        <v>62.594100000000005</v>
      </c>
    </row>
    <row r="154" spans="1:5" x14ac:dyDescent="0.2">
      <c r="A154" s="3" t="s">
        <v>156</v>
      </c>
      <c r="B154" s="4">
        <v>94.95</v>
      </c>
      <c r="C154" s="5">
        <f t="shared" si="6"/>
        <v>126.60000000000001</v>
      </c>
      <c r="D154" s="16">
        <f t="shared" si="7"/>
        <v>189.9</v>
      </c>
      <c r="E154" s="18">
        <f t="shared" si="8"/>
        <v>82.891350000000003</v>
      </c>
    </row>
    <row r="155" spans="1:5" x14ac:dyDescent="0.2">
      <c r="A155" s="3" t="s">
        <v>157</v>
      </c>
      <c r="B155" s="4">
        <v>278.10000000000002</v>
      </c>
      <c r="C155" s="5">
        <f t="shared" si="6"/>
        <v>370.8</v>
      </c>
      <c r="D155" s="16">
        <f t="shared" si="7"/>
        <v>556.20000000000005</v>
      </c>
      <c r="E155" s="18">
        <f t="shared" si="8"/>
        <v>242.78130000000002</v>
      </c>
    </row>
    <row r="156" spans="1:5" x14ac:dyDescent="0.2">
      <c r="A156" s="3" t="s">
        <v>158</v>
      </c>
      <c r="B156" s="4">
        <v>289.65000000000003</v>
      </c>
      <c r="C156" s="5">
        <f t="shared" si="6"/>
        <v>386.20000000000005</v>
      </c>
      <c r="D156" s="16">
        <f t="shared" si="7"/>
        <v>579.30000000000007</v>
      </c>
      <c r="E156" s="18">
        <f t="shared" si="8"/>
        <v>252.86445000000003</v>
      </c>
    </row>
    <row r="157" spans="1:5" x14ac:dyDescent="0.2">
      <c r="A157" s="7" t="s">
        <v>159</v>
      </c>
      <c r="B157" s="4">
        <v>80.850000000000009</v>
      </c>
      <c r="C157" s="5">
        <f t="shared" si="6"/>
        <v>107.80000000000001</v>
      </c>
      <c r="D157" s="16">
        <f t="shared" si="7"/>
        <v>161.70000000000002</v>
      </c>
      <c r="E157" s="18">
        <f t="shared" si="8"/>
        <v>70.58205000000001</v>
      </c>
    </row>
    <row r="158" spans="1:5" x14ac:dyDescent="0.2">
      <c r="A158" s="3" t="s">
        <v>160</v>
      </c>
      <c r="B158" s="4">
        <v>24</v>
      </c>
      <c r="C158" s="5">
        <f t="shared" si="6"/>
        <v>32</v>
      </c>
      <c r="D158" s="16">
        <f t="shared" si="7"/>
        <v>48</v>
      </c>
      <c r="E158" s="18">
        <f t="shared" si="8"/>
        <v>20.951999999999998</v>
      </c>
    </row>
    <row r="159" spans="1:5" x14ac:dyDescent="0.2">
      <c r="A159" s="3" t="s">
        <v>161</v>
      </c>
      <c r="B159" s="4">
        <v>25.200000000000003</v>
      </c>
      <c r="C159" s="5">
        <f t="shared" si="6"/>
        <v>33.6</v>
      </c>
      <c r="D159" s="16">
        <f t="shared" si="7"/>
        <v>50.400000000000006</v>
      </c>
      <c r="E159" s="18">
        <f t="shared" si="8"/>
        <v>21.999600000000001</v>
      </c>
    </row>
    <row r="160" spans="1:5" x14ac:dyDescent="0.2">
      <c r="A160" s="3" t="s">
        <v>162</v>
      </c>
      <c r="B160" s="4">
        <v>30.150000000000002</v>
      </c>
      <c r="C160" s="5">
        <f t="shared" si="6"/>
        <v>40.200000000000003</v>
      </c>
      <c r="D160" s="16">
        <f t="shared" si="7"/>
        <v>60.300000000000004</v>
      </c>
      <c r="E160" s="18">
        <f t="shared" si="8"/>
        <v>26.320950000000003</v>
      </c>
    </row>
    <row r="161" spans="1:5" x14ac:dyDescent="0.2">
      <c r="A161" s="3" t="s">
        <v>163</v>
      </c>
      <c r="B161" s="4">
        <v>31.800000000000004</v>
      </c>
      <c r="C161" s="5">
        <f t="shared" si="6"/>
        <v>42.400000000000006</v>
      </c>
      <c r="D161" s="16">
        <f t="shared" si="7"/>
        <v>63.600000000000009</v>
      </c>
      <c r="E161" s="18">
        <f t="shared" si="8"/>
        <v>27.761400000000005</v>
      </c>
    </row>
    <row r="162" spans="1:5" x14ac:dyDescent="0.2">
      <c r="A162" s="3" t="s">
        <v>164</v>
      </c>
      <c r="B162" s="4">
        <v>36.75</v>
      </c>
      <c r="C162" s="5">
        <f t="shared" si="6"/>
        <v>49</v>
      </c>
      <c r="D162" s="16">
        <f t="shared" si="7"/>
        <v>73.5</v>
      </c>
      <c r="E162" s="18">
        <f t="shared" si="8"/>
        <v>32.082749999999997</v>
      </c>
    </row>
    <row r="163" spans="1:5" x14ac:dyDescent="0.2">
      <c r="A163" s="3" t="s">
        <v>165</v>
      </c>
      <c r="B163" s="4">
        <v>51.45</v>
      </c>
      <c r="C163" s="5">
        <f t="shared" si="6"/>
        <v>68.600000000000009</v>
      </c>
      <c r="D163" s="16">
        <f t="shared" si="7"/>
        <v>102.9</v>
      </c>
      <c r="E163" s="18">
        <f t="shared" si="8"/>
        <v>44.915849999999999</v>
      </c>
    </row>
    <row r="164" spans="1:5" x14ac:dyDescent="0.2">
      <c r="A164" s="3" t="s">
        <v>166</v>
      </c>
      <c r="B164" s="4">
        <v>36.75</v>
      </c>
      <c r="C164" s="5">
        <f t="shared" si="6"/>
        <v>49</v>
      </c>
      <c r="D164" s="16">
        <f t="shared" si="7"/>
        <v>73.5</v>
      </c>
      <c r="E164" s="18">
        <f t="shared" si="8"/>
        <v>32.082749999999997</v>
      </c>
    </row>
    <row r="165" spans="1:5" x14ac:dyDescent="0.2">
      <c r="A165" s="3" t="s">
        <v>167</v>
      </c>
      <c r="B165" s="4">
        <v>39.450000000000003</v>
      </c>
      <c r="C165" s="5">
        <f t="shared" si="6"/>
        <v>52.6</v>
      </c>
      <c r="D165" s="16">
        <f t="shared" si="7"/>
        <v>78.900000000000006</v>
      </c>
      <c r="E165" s="18">
        <f t="shared" si="8"/>
        <v>34.43985</v>
      </c>
    </row>
    <row r="166" spans="1:5" x14ac:dyDescent="0.2">
      <c r="A166" s="3" t="s">
        <v>168</v>
      </c>
      <c r="B166" s="4">
        <v>57.150000000000006</v>
      </c>
      <c r="C166" s="5">
        <f t="shared" si="6"/>
        <v>76.2</v>
      </c>
      <c r="D166" s="16">
        <f t="shared" si="7"/>
        <v>114.30000000000001</v>
      </c>
      <c r="E166" s="18">
        <f t="shared" si="8"/>
        <v>49.891950000000001</v>
      </c>
    </row>
    <row r="167" spans="1:5" x14ac:dyDescent="0.2">
      <c r="A167" s="3" t="s">
        <v>169</v>
      </c>
      <c r="B167" s="6" t="e">
        <v>#VALUE!</v>
      </c>
      <c r="C167" s="5" t="e">
        <f t="shared" si="6"/>
        <v>#VALUE!</v>
      </c>
      <c r="D167" s="16" t="e">
        <f t="shared" si="7"/>
        <v>#VALUE!</v>
      </c>
      <c r="E167" s="18" t="e">
        <f t="shared" si="8"/>
        <v>#VALUE!</v>
      </c>
    </row>
    <row r="168" spans="1:5" x14ac:dyDescent="0.2">
      <c r="A168" s="3" t="s">
        <v>170</v>
      </c>
      <c r="B168" s="4">
        <v>164.70000000000002</v>
      </c>
      <c r="C168" s="5">
        <f t="shared" si="6"/>
        <v>219.60000000000002</v>
      </c>
      <c r="D168" s="16">
        <f t="shared" si="7"/>
        <v>329.40000000000003</v>
      </c>
      <c r="E168" s="18">
        <f t="shared" si="8"/>
        <v>143.78310000000002</v>
      </c>
    </row>
    <row r="169" spans="1:5" x14ac:dyDescent="0.2">
      <c r="A169" s="3" t="s">
        <v>171</v>
      </c>
      <c r="B169" s="4">
        <v>39.6</v>
      </c>
      <c r="C169" s="5">
        <f t="shared" si="6"/>
        <v>52.800000000000004</v>
      </c>
      <c r="D169" s="16">
        <f t="shared" si="7"/>
        <v>79.2</v>
      </c>
      <c r="E169" s="18">
        <f t="shared" si="8"/>
        <v>34.570799999999998</v>
      </c>
    </row>
    <row r="170" spans="1:5" x14ac:dyDescent="0.2">
      <c r="A170" s="3" t="s">
        <v>172</v>
      </c>
      <c r="B170" s="4">
        <v>13.649999999999999</v>
      </c>
      <c r="C170" s="5">
        <f t="shared" si="6"/>
        <v>18.2</v>
      </c>
      <c r="D170" s="16">
        <f t="shared" si="7"/>
        <v>27.299999999999997</v>
      </c>
      <c r="E170" s="18">
        <f t="shared" si="8"/>
        <v>11.916449999999999</v>
      </c>
    </row>
    <row r="171" spans="1:5" x14ac:dyDescent="0.2">
      <c r="A171" s="3" t="s">
        <v>173</v>
      </c>
      <c r="B171" s="4">
        <v>15.900000000000002</v>
      </c>
      <c r="C171" s="5">
        <f t="shared" si="6"/>
        <v>21.200000000000003</v>
      </c>
      <c r="D171" s="16">
        <f t="shared" si="7"/>
        <v>31.800000000000004</v>
      </c>
      <c r="E171" s="18">
        <f t="shared" si="8"/>
        <v>13.880700000000003</v>
      </c>
    </row>
    <row r="172" spans="1:5" x14ac:dyDescent="0.2">
      <c r="A172" s="3" t="s">
        <v>174</v>
      </c>
      <c r="B172" s="4">
        <v>16.5</v>
      </c>
      <c r="C172" s="5">
        <f t="shared" si="6"/>
        <v>22</v>
      </c>
      <c r="D172" s="16">
        <f t="shared" si="7"/>
        <v>33</v>
      </c>
      <c r="E172" s="18">
        <f t="shared" si="8"/>
        <v>14.404500000000001</v>
      </c>
    </row>
    <row r="173" spans="1:5" x14ac:dyDescent="0.2">
      <c r="A173" s="3" t="s">
        <v>175</v>
      </c>
      <c r="B173" s="4">
        <v>19.350000000000001</v>
      </c>
      <c r="C173" s="5">
        <f t="shared" si="6"/>
        <v>25.8</v>
      </c>
      <c r="D173" s="16">
        <f t="shared" si="7"/>
        <v>38.700000000000003</v>
      </c>
      <c r="E173" s="18">
        <f t="shared" si="8"/>
        <v>16.89255</v>
      </c>
    </row>
    <row r="174" spans="1:5" x14ac:dyDescent="0.2">
      <c r="A174" s="3" t="s">
        <v>176</v>
      </c>
      <c r="B174" s="4">
        <v>22.200000000000003</v>
      </c>
      <c r="C174" s="5">
        <f t="shared" si="6"/>
        <v>29.600000000000005</v>
      </c>
      <c r="D174" s="16">
        <f t="shared" si="7"/>
        <v>44.400000000000006</v>
      </c>
      <c r="E174" s="18">
        <f t="shared" si="8"/>
        <v>19.380600000000001</v>
      </c>
    </row>
    <row r="175" spans="1:5" x14ac:dyDescent="0.2">
      <c r="A175" s="3" t="s">
        <v>177</v>
      </c>
      <c r="B175" s="4">
        <v>18.150000000000002</v>
      </c>
      <c r="C175" s="5">
        <f t="shared" si="6"/>
        <v>24.200000000000003</v>
      </c>
      <c r="D175" s="16">
        <f t="shared" si="7"/>
        <v>36.300000000000004</v>
      </c>
      <c r="E175" s="18">
        <f t="shared" si="8"/>
        <v>15.844950000000003</v>
      </c>
    </row>
    <row r="176" spans="1:5" x14ac:dyDescent="0.2">
      <c r="A176" s="3" t="s">
        <v>178</v>
      </c>
      <c r="B176" s="6" t="e">
        <v>#VALUE!</v>
      </c>
      <c r="C176" s="5" t="e">
        <f t="shared" si="6"/>
        <v>#VALUE!</v>
      </c>
      <c r="D176" s="16" t="e">
        <f t="shared" si="7"/>
        <v>#VALUE!</v>
      </c>
      <c r="E176" s="18" t="e">
        <f t="shared" si="8"/>
        <v>#VALUE!</v>
      </c>
    </row>
    <row r="177" spans="1:5" x14ac:dyDescent="0.2">
      <c r="A177" s="3" t="s">
        <v>179</v>
      </c>
      <c r="B177" s="4">
        <v>21.150000000000002</v>
      </c>
      <c r="C177" s="5">
        <f t="shared" si="6"/>
        <v>28.200000000000003</v>
      </c>
      <c r="D177" s="16">
        <f t="shared" si="7"/>
        <v>42.300000000000004</v>
      </c>
      <c r="E177" s="18">
        <f t="shared" si="8"/>
        <v>18.463950000000001</v>
      </c>
    </row>
    <row r="178" spans="1:5" x14ac:dyDescent="0.2">
      <c r="A178" s="3" t="s">
        <v>180</v>
      </c>
      <c r="B178" s="4">
        <v>21.450000000000003</v>
      </c>
      <c r="C178" s="5">
        <f t="shared" si="6"/>
        <v>28.600000000000005</v>
      </c>
      <c r="D178" s="16">
        <f t="shared" si="7"/>
        <v>42.900000000000006</v>
      </c>
      <c r="E178" s="18">
        <f t="shared" si="8"/>
        <v>18.725850000000001</v>
      </c>
    </row>
    <row r="179" spans="1:5" x14ac:dyDescent="0.2">
      <c r="A179" s="3" t="s">
        <v>181</v>
      </c>
      <c r="B179" s="4">
        <v>24.75</v>
      </c>
      <c r="C179" s="5">
        <f t="shared" si="6"/>
        <v>33</v>
      </c>
      <c r="D179" s="16">
        <f t="shared" si="7"/>
        <v>49.5</v>
      </c>
      <c r="E179" s="18">
        <f t="shared" si="8"/>
        <v>21.606750000000002</v>
      </c>
    </row>
    <row r="180" spans="1:5" x14ac:dyDescent="0.2">
      <c r="A180" s="3" t="s">
        <v>182</v>
      </c>
      <c r="B180" s="4">
        <v>13.649999999999999</v>
      </c>
      <c r="C180" s="5">
        <f t="shared" si="6"/>
        <v>18.2</v>
      </c>
      <c r="D180" s="16">
        <f t="shared" si="7"/>
        <v>27.299999999999997</v>
      </c>
      <c r="E180" s="18">
        <f t="shared" si="8"/>
        <v>11.916449999999999</v>
      </c>
    </row>
    <row r="181" spans="1:5" x14ac:dyDescent="0.2">
      <c r="A181" s="3" t="s">
        <v>183</v>
      </c>
      <c r="B181" s="4">
        <v>16.8</v>
      </c>
      <c r="C181" s="5">
        <f t="shared" si="6"/>
        <v>22.400000000000002</v>
      </c>
      <c r="D181" s="16">
        <f t="shared" si="7"/>
        <v>33.6</v>
      </c>
      <c r="E181" s="18">
        <f t="shared" si="8"/>
        <v>14.666400000000001</v>
      </c>
    </row>
    <row r="182" spans="1:5" x14ac:dyDescent="0.2">
      <c r="A182" s="3" t="s">
        <v>184</v>
      </c>
      <c r="B182" s="4">
        <v>18.450000000000003</v>
      </c>
      <c r="C182" s="5">
        <f t="shared" si="6"/>
        <v>24.600000000000005</v>
      </c>
      <c r="D182" s="16">
        <f t="shared" si="7"/>
        <v>36.900000000000006</v>
      </c>
      <c r="E182" s="18">
        <f t="shared" si="8"/>
        <v>16.106850000000001</v>
      </c>
    </row>
    <row r="183" spans="1:5" x14ac:dyDescent="0.2">
      <c r="A183" s="3" t="s">
        <v>185</v>
      </c>
      <c r="B183" s="4">
        <v>18.900000000000002</v>
      </c>
      <c r="C183" s="5">
        <f t="shared" si="6"/>
        <v>25.200000000000003</v>
      </c>
      <c r="D183" s="16">
        <f t="shared" si="7"/>
        <v>37.800000000000004</v>
      </c>
      <c r="E183" s="18">
        <f t="shared" si="8"/>
        <v>16.499700000000001</v>
      </c>
    </row>
    <row r="184" spans="1:5" x14ac:dyDescent="0.2">
      <c r="A184" s="3" t="s">
        <v>186</v>
      </c>
      <c r="B184" s="4">
        <v>24.900000000000002</v>
      </c>
      <c r="C184" s="5">
        <f t="shared" si="6"/>
        <v>33.200000000000003</v>
      </c>
      <c r="D184" s="16">
        <f t="shared" si="7"/>
        <v>49.800000000000004</v>
      </c>
      <c r="E184" s="18">
        <f t="shared" si="8"/>
        <v>21.7377</v>
      </c>
    </row>
    <row r="185" spans="1:5" x14ac:dyDescent="0.2">
      <c r="A185" s="3" t="s">
        <v>187</v>
      </c>
      <c r="B185" s="6" t="e">
        <v>#VALUE!</v>
      </c>
      <c r="C185" s="5" t="e">
        <f t="shared" si="6"/>
        <v>#VALUE!</v>
      </c>
      <c r="D185" s="16" t="e">
        <f t="shared" si="7"/>
        <v>#VALUE!</v>
      </c>
      <c r="E185" s="18" t="e">
        <f t="shared" si="8"/>
        <v>#VALUE!</v>
      </c>
    </row>
    <row r="186" spans="1:5" x14ac:dyDescent="0.2">
      <c r="A186" s="7" t="s">
        <v>188</v>
      </c>
      <c r="B186" s="4">
        <v>20.25</v>
      </c>
      <c r="C186" s="5">
        <f t="shared" si="6"/>
        <v>27</v>
      </c>
      <c r="D186" s="16">
        <f t="shared" si="7"/>
        <v>40.5</v>
      </c>
      <c r="E186" s="18">
        <f t="shared" si="8"/>
        <v>17.678249999999998</v>
      </c>
    </row>
    <row r="187" spans="1:5" x14ac:dyDescent="0.2">
      <c r="A187" s="3" t="s">
        <v>189</v>
      </c>
      <c r="B187" s="6" t="e">
        <v>#VALUE!</v>
      </c>
      <c r="C187" s="5" t="e">
        <f t="shared" si="6"/>
        <v>#VALUE!</v>
      </c>
      <c r="D187" s="16" t="e">
        <f t="shared" si="7"/>
        <v>#VALUE!</v>
      </c>
      <c r="E187" s="18" t="e">
        <f t="shared" si="8"/>
        <v>#VALUE!</v>
      </c>
    </row>
    <row r="188" spans="1:5" x14ac:dyDescent="0.2">
      <c r="A188" s="7" t="s">
        <v>190</v>
      </c>
      <c r="B188" s="4">
        <v>26.25</v>
      </c>
      <c r="C188" s="5">
        <f t="shared" si="6"/>
        <v>35</v>
      </c>
      <c r="D188" s="16">
        <f t="shared" si="7"/>
        <v>52.5</v>
      </c>
      <c r="E188" s="18">
        <f t="shared" si="8"/>
        <v>22.916250000000002</v>
      </c>
    </row>
    <row r="189" spans="1:5" x14ac:dyDescent="0.2">
      <c r="A189" s="3" t="s">
        <v>191</v>
      </c>
      <c r="B189" s="6" t="e">
        <v>#VALUE!</v>
      </c>
      <c r="C189" s="5" t="e">
        <f t="shared" si="6"/>
        <v>#VALUE!</v>
      </c>
      <c r="D189" s="16" t="e">
        <f t="shared" si="7"/>
        <v>#VALUE!</v>
      </c>
      <c r="E189" s="18" t="e">
        <f t="shared" si="8"/>
        <v>#VALUE!</v>
      </c>
    </row>
    <row r="190" spans="1:5" x14ac:dyDescent="0.2">
      <c r="A190" s="7" t="s">
        <v>192</v>
      </c>
      <c r="B190" s="4">
        <v>14.100000000000001</v>
      </c>
      <c r="C190" s="5">
        <f t="shared" si="6"/>
        <v>18.8</v>
      </c>
      <c r="D190" s="16">
        <f t="shared" si="7"/>
        <v>28.200000000000003</v>
      </c>
      <c r="E190" s="18">
        <f t="shared" si="8"/>
        <v>12.3093</v>
      </c>
    </row>
    <row r="191" spans="1:5" x14ac:dyDescent="0.2">
      <c r="A191" s="7" t="s">
        <v>193</v>
      </c>
      <c r="B191" s="4">
        <v>17.55</v>
      </c>
      <c r="C191" s="5">
        <f t="shared" si="6"/>
        <v>23.400000000000002</v>
      </c>
      <c r="D191" s="16">
        <f t="shared" si="7"/>
        <v>35.1</v>
      </c>
      <c r="E191" s="18">
        <f t="shared" si="8"/>
        <v>15.321150000000001</v>
      </c>
    </row>
    <row r="192" spans="1:5" x14ac:dyDescent="0.2">
      <c r="A192" s="7" t="s">
        <v>194</v>
      </c>
      <c r="B192" s="4">
        <v>14.25</v>
      </c>
      <c r="C192" s="5">
        <f t="shared" si="6"/>
        <v>19</v>
      </c>
      <c r="D192" s="16">
        <f t="shared" si="7"/>
        <v>28.5</v>
      </c>
      <c r="E192" s="18">
        <f t="shared" si="8"/>
        <v>12.440250000000001</v>
      </c>
    </row>
    <row r="193" spans="1:5" x14ac:dyDescent="0.2">
      <c r="A193" s="7" t="s">
        <v>195</v>
      </c>
      <c r="B193" s="4">
        <v>20.100000000000001</v>
      </c>
      <c r="C193" s="5">
        <f t="shared" si="6"/>
        <v>26.8</v>
      </c>
      <c r="D193" s="16">
        <f t="shared" si="7"/>
        <v>40.200000000000003</v>
      </c>
      <c r="E193" s="18">
        <f t="shared" si="8"/>
        <v>17.5473</v>
      </c>
    </row>
    <row r="194" spans="1:5" x14ac:dyDescent="0.2">
      <c r="A194" s="7" t="s">
        <v>196</v>
      </c>
      <c r="B194" s="4">
        <v>22.950000000000003</v>
      </c>
      <c r="C194" s="5">
        <f t="shared" si="6"/>
        <v>30.600000000000005</v>
      </c>
      <c r="D194" s="16">
        <f t="shared" si="7"/>
        <v>45.900000000000006</v>
      </c>
      <c r="E194" s="18">
        <f t="shared" si="8"/>
        <v>20.035350000000001</v>
      </c>
    </row>
    <row r="195" spans="1:5" x14ac:dyDescent="0.2">
      <c r="A195" s="3" t="s">
        <v>197</v>
      </c>
      <c r="B195" s="4">
        <v>15.3</v>
      </c>
      <c r="C195" s="5">
        <f t="shared" ref="C195:C258" si="9">B195/0.75</f>
        <v>20.400000000000002</v>
      </c>
      <c r="D195" s="16">
        <f t="shared" ref="D195:D258" si="10">B195*2</f>
        <v>30.6</v>
      </c>
      <c r="E195" s="18">
        <f t="shared" ref="E195:E258" si="11">B195*0.873</f>
        <v>13.356900000000001</v>
      </c>
    </row>
    <row r="196" spans="1:5" x14ac:dyDescent="0.2">
      <c r="A196" s="3" t="s">
        <v>198</v>
      </c>
      <c r="B196" s="4">
        <v>19.350000000000001</v>
      </c>
      <c r="C196" s="5">
        <f t="shared" si="9"/>
        <v>25.8</v>
      </c>
      <c r="D196" s="16">
        <f t="shared" si="10"/>
        <v>38.700000000000003</v>
      </c>
      <c r="E196" s="18">
        <f t="shared" si="11"/>
        <v>16.89255</v>
      </c>
    </row>
    <row r="197" spans="1:5" x14ac:dyDescent="0.2">
      <c r="A197" s="3" t="s">
        <v>199</v>
      </c>
      <c r="B197" s="4">
        <v>21.6</v>
      </c>
      <c r="C197" s="5">
        <f t="shared" si="9"/>
        <v>28.8</v>
      </c>
      <c r="D197" s="16">
        <f t="shared" si="10"/>
        <v>43.2</v>
      </c>
      <c r="E197" s="18">
        <f t="shared" si="11"/>
        <v>18.8568</v>
      </c>
    </row>
    <row r="198" spans="1:5" x14ac:dyDescent="0.2">
      <c r="A198" s="3" t="s">
        <v>200</v>
      </c>
      <c r="B198" s="4">
        <v>24.299999999999997</v>
      </c>
      <c r="C198" s="5">
        <f t="shared" si="9"/>
        <v>32.4</v>
      </c>
      <c r="D198" s="16">
        <f t="shared" si="10"/>
        <v>48.599999999999994</v>
      </c>
      <c r="E198" s="18">
        <f t="shared" si="11"/>
        <v>21.213899999999999</v>
      </c>
    </row>
    <row r="199" spans="1:5" x14ac:dyDescent="0.2">
      <c r="A199" s="3" t="s">
        <v>201</v>
      </c>
      <c r="B199" s="4">
        <v>29.550000000000004</v>
      </c>
      <c r="C199" s="5">
        <f t="shared" si="9"/>
        <v>39.400000000000006</v>
      </c>
      <c r="D199" s="16">
        <f t="shared" si="10"/>
        <v>59.100000000000009</v>
      </c>
      <c r="E199" s="18">
        <f t="shared" si="11"/>
        <v>25.797150000000002</v>
      </c>
    </row>
    <row r="200" spans="1:5" x14ac:dyDescent="0.2">
      <c r="A200" s="7" t="s">
        <v>202</v>
      </c>
      <c r="B200" s="4">
        <v>18</v>
      </c>
      <c r="C200" s="5">
        <f t="shared" si="9"/>
        <v>24</v>
      </c>
      <c r="D200" s="16">
        <f t="shared" si="10"/>
        <v>36</v>
      </c>
      <c r="E200" s="18">
        <f t="shared" si="11"/>
        <v>15.714</v>
      </c>
    </row>
    <row r="201" spans="1:5" x14ac:dyDescent="0.2">
      <c r="A201" s="3" t="s">
        <v>203</v>
      </c>
      <c r="B201" s="4">
        <v>20.100000000000001</v>
      </c>
      <c r="C201" s="5">
        <f t="shared" si="9"/>
        <v>26.8</v>
      </c>
      <c r="D201" s="16">
        <f t="shared" si="10"/>
        <v>40.200000000000003</v>
      </c>
      <c r="E201" s="18">
        <f t="shared" si="11"/>
        <v>17.5473</v>
      </c>
    </row>
    <row r="202" spans="1:5" x14ac:dyDescent="0.2">
      <c r="A202" s="3" t="s">
        <v>204</v>
      </c>
      <c r="B202" s="4">
        <v>21.150000000000002</v>
      </c>
      <c r="C202" s="5">
        <f t="shared" si="9"/>
        <v>28.200000000000003</v>
      </c>
      <c r="D202" s="16">
        <f t="shared" si="10"/>
        <v>42.300000000000004</v>
      </c>
      <c r="E202" s="18">
        <f t="shared" si="11"/>
        <v>18.463950000000001</v>
      </c>
    </row>
    <row r="203" spans="1:5" x14ac:dyDescent="0.2">
      <c r="A203" s="7" t="s">
        <v>205</v>
      </c>
      <c r="B203" s="4">
        <v>22.05</v>
      </c>
      <c r="C203" s="5">
        <f t="shared" si="9"/>
        <v>29.400000000000002</v>
      </c>
      <c r="D203" s="16">
        <f t="shared" si="10"/>
        <v>44.1</v>
      </c>
      <c r="E203" s="18">
        <f t="shared" si="11"/>
        <v>19.249649999999999</v>
      </c>
    </row>
    <row r="204" spans="1:5" x14ac:dyDescent="0.2">
      <c r="A204" s="3" t="s">
        <v>206</v>
      </c>
      <c r="B204" s="4">
        <v>33</v>
      </c>
      <c r="C204" s="5">
        <f t="shared" si="9"/>
        <v>44</v>
      </c>
      <c r="D204" s="16">
        <f t="shared" si="10"/>
        <v>66</v>
      </c>
      <c r="E204" s="18">
        <f t="shared" si="11"/>
        <v>28.809000000000001</v>
      </c>
    </row>
    <row r="205" spans="1:5" x14ac:dyDescent="0.2">
      <c r="A205" s="3" t="s">
        <v>207</v>
      </c>
      <c r="B205" s="4">
        <v>37.800000000000004</v>
      </c>
      <c r="C205" s="5">
        <f t="shared" si="9"/>
        <v>50.400000000000006</v>
      </c>
      <c r="D205" s="16">
        <f t="shared" si="10"/>
        <v>75.600000000000009</v>
      </c>
      <c r="E205" s="18">
        <f t="shared" si="11"/>
        <v>32.999400000000001</v>
      </c>
    </row>
    <row r="206" spans="1:5" x14ac:dyDescent="0.2">
      <c r="A206" s="3" t="s">
        <v>208</v>
      </c>
      <c r="B206" s="4">
        <v>143.25</v>
      </c>
      <c r="C206" s="5">
        <f t="shared" si="9"/>
        <v>191</v>
      </c>
      <c r="D206" s="16">
        <f t="shared" si="10"/>
        <v>286.5</v>
      </c>
      <c r="E206" s="18">
        <f t="shared" si="11"/>
        <v>125.05725</v>
      </c>
    </row>
    <row r="207" spans="1:5" x14ac:dyDescent="0.2">
      <c r="A207" s="3" t="s">
        <v>209</v>
      </c>
      <c r="B207" s="4">
        <v>86.850000000000009</v>
      </c>
      <c r="C207" s="5">
        <f t="shared" si="9"/>
        <v>115.80000000000001</v>
      </c>
      <c r="D207" s="16">
        <f t="shared" si="10"/>
        <v>173.70000000000002</v>
      </c>
      <c r="E207" s="18">
        <f t="shared" si="11"/>
        <v>75.820050000000009</v>
      </c>
    </row>
    <row r="208" spans="1:5" x14ac:dyDescent="0.2">
      <c r="A208" s="3" t="s">
        <v>210</v>
      </c>
      <c r="B208" s="4">
        <v>149.70000000000002</v>
      </c>
      <c r="C208" s="5">
        <f t="shared" si="9"/>
        <v>199.60000000000002</v>
      </c>
      <c r="D208" s="16">
        <f t="shared" si="10"/>
        <v>299.40000000000003</v>
      </c>
      <c r="E208" s="18">
        <f t="shared" si="11"/>
        <v>130.68810000000002</v>
      </c>
    </row>
    <row r="209" spans="1:5" x14ac:dyDescent="0.2">
      <c r="A209" s="3" t="s">
        <v>211</v>
      </c>
      <c r="B209" s="4">
        <v>165.60000000000002</v>
      </c>
      <c r="C209" s="5">
        <f t="shared" si="9"/>
        <v>220.80000000000004</v>
      </c>
      <c r="D209" s="16">
        <f t="shared" si="10"/>
        <v>331.20000000000005</v>
      </c>
      <c r="E209" s="18">
        <f t="shared" si="11"/>
        <v>144.56880000000001</v>
      </c>
    </row>
    <row r="210" spans="1:5" x14ac:dyDescent="0.2">
      <c r="A210" s="3" t="s">
        <v>212</v>
      </c>
      <c r="B210" s="4">
        <v>36.150000000000006</v>
      </c>
      <c r="C210" s="5">
        <f t="shared" si="9"/>
        <v>48.20000000000001</v>
      </c>
      <c r="D210" s="16">
        <f t="shared" si="10"/>
        <v>72.300000000000011</v>
      </c>
      <c r="E210" s="18">
        <f t="shared" si="11"/>
        <v>31.558950000000006</v>
      </c>
    </row>
    <row r="211" spans="1:5" x14ac:dyDescent="0.2">
      <c r="A211" s="3" t="s">
        <v>213</v>
      </c>
      <c r="B211" s="4">
        <v>97.949999999999989</v>
      </c>
      <c r="C211" s="5">
        <f t="shared" si="9"/>
        <v>130.6</v>
      </c>
      <c r="D211" s="16">
        <f t="shared" si="10"/>
        <v>195.89999999999998</v>
      </c>
      <c r="E211" s="18">
        <f t="shared" si="11"/>
        <v>85.510349999999988</v>
      </c>
    </row>
    <row r="212" spans="1:5" x14ac:dyDescent="0.2">
      <c r="A212" s="3" t="s">
        <v>214</v>
      </c>
      <c r="B212" s="4">
        <v>106.19999999999999</v>
      </c>
      <c r="C212" s="5">
        <f t="shared" si="9"/>
        <v>141.6</v>
      </c>
      <c r="D212" s="16">
        <f t="shared" si="10"/>
        <v>212.39999999999998</v>
      </c>
      <c r="E212" s="18">
        <f t="shared" si="11"/>
        <v>92.712599999999995</v>
      </c>
    </row>
    <row r="213" spans="1:5" x14ac:dyDescent="0.2">
      <c r="A213" s="3" t="s">
        <v>215</v>
      </c>
      <c r="B213" s="4">
        <v>111.44999999999999</v>
      </c>
      <c r="C213" s="5">
        <f t="shared" si="9"/>
        <v>148.6</v>
      </c>
      <c r="D213" s="16">
        <f t="shared" si="10"/>
        <v>222.89999999999998</v>
      </c>
      <c r="E213" s="18">
        <f t="shared" si="11"/>
        <v>97.295849999999987</v>
      </c>
    </row>
    <row r="214" spans="1:5" x14ac:dyDescent="0.2">
      <c r="A214" s="3" t="s">
        <v>216</v>
      </c>
      <c r="B214" s="4">
        <v>165.75</v>
      </c>
      <c r="C214" s="5">
        <f t="shared" si="9"/>
        <v>221</v>
      </c>
      <c r="D214" s="16">
        <f t="shared" si="10"/>
        <v>331.5</v>
      </c>
      <c r="E214" s="18">
        <f t="shared" si="11"/>
        <v>144.69974999999999</v>
      </c>
    </row>
    <row r="215" spans="1:5" x14ac:dyDescent="0.2">
      <c r="A215" s="3" t="s">
        <v>217</v>
      </c>
      <c r="B215" s="4">
        <v>235.65000000000003</v>
      </c>
      <c r="C215" s="5">
        <f t="shared" si="9"/>
        <v>314.20000000000005</v>
      </c>
      <c r="D215" s="16">
        <f t="shared" si="10"/>
        <v>471.30000000000007</v>
      </c>
      <c r="E215" s="18">
        <f t="shared" si="11"/>
        <v>205.72245000000004</v>
      </c>
    </row>
    <row r="216" spans="1:5" x14ac:dyDescent="0.2">
      <c r="A216" s="3" t="s">
        <v>218</v>
      </c>
      <c r="B216" s="4">
        <v>208.8</v>
      </c>
      <c r="C216" s="5">
        <f t="shared" si="9"/>
        <v>278.40000000000003</v>
      </c>
      <c r="D216" s="16">
        <f t="shared" si="10"/>
        <v>417.6</v>
      </c>
      <c r="E216" s="18">
        <f t="shared" si="11"/>
        <v>182.2824</v>
      </c>
    </row>
    <row r="217" spans="1:5" x14ac:dyDescent="0.2">
      <c r="A217" s="3" t="s">
        <v>219</v>
      </c>
      <c r="B217" s="4">
        <v>20.700000000000003</v>
      </c>
      <c r="C217" s="5">
        <f t="shared" si="9"/>
        <v>27.600000000000005</v>
      </c>
      <c r="D217" s="16">
        <f t="shared" si="10"/>
        <v>41.400000000000006</v>
      </c>
      <c r="E217" s="18">
        <f t="shared" si="11"/>
        <v>18.071100000000001</v>
      </c>
    </row>
    <row r="218" spans="1:5" x14ac:dyDescent="0.2">
      <c r="A218" s="3" t="s">
        <v>220</v>
      </c>
      <c r="B218" s="4">
        <v>66</v>
      </c>
      <c r="C218" s="5">
        <f t="shared" si="9"/>
        <v>88</v>
      </c>
      <c r="D218" s="16">
        <f t="shared" si="10"/>
        <v>132</v>
      </c>
      <c r="E218" s="18">
        <f t="shared" si="11"/>
        <v>57.618000000000002</v>
      </c>
    </row>
    <row r="219" spans="1:5" x14ac:dyDescent="0.2">
      <c r="A219" s="3" t="s">
        <v>221</v>
      </c>
      <c r="B219" s="4">
        <v>195.75</v>
      </c>
      <c r="C219" s="5">
        <f t="shared" si="9"/>
        <v>261</v>
      </c>
      <c r="D219" s="16">
        <f t="shared" si="10"/>
        <v>391.5</v>
      </c>
      <c r="E219" s="18">
        <f t="shared" si="11"/>
        <v>170.88974999999999</v>
      </c>
    </row>
    <row r="220" spans="1:5" x14ac:dyDescent="0.2">
      <c r="A220" s="3" t="s">
        <v>222</v>
      </c>
      <c r="B220" s="4">
        <v>246.3</v>
      </c>
      <c r="C220" s="5">
        <f t="shared" si="9"/>
        <v>328.40000000000003</v>
      </c>
      <c r="D220" s="16">
        <f t="shared" si="10"/>
        <v>492.6</v>
      </c>
      <c r="E220" s="18">
        <f t="shared" si="11"/>
        <v>215.01990000000001</v>
      </c>
    </row>
    <row r="221" spans="1:5" x14ac:dyDescent="0.2">
      <c r="A221" s="3" t="s">
        <v>223</v>
      </c>
      <c r="B221" s="4">
        <v>247.95000000000002</v>
      </c>
      <c r="C221" s="5">
        <f t="shared" si="9"/>
        <v>330.6</v>
      </c>
      <c r="D221" s="16">
        <f t="shared" si="10"/>
        <v>495.90000000000003</v>
      </c>
      <c r="E221" s="18">
        <f t="shared" si="11"/>
        <v>216.46035000000001</v>
      </c>
    </row>
    <row r="222" spans="1:5" x14ac:dyDescent="0.2">
      <c r="A222" s="3" t="s">
        <v>224</v>
      </c>
      <c r="B222" s="4">
        <v>235.8</v>
      </c>
      <c r="C222" s="5">
        <f t="shared" si="9"/>
        <v>314.40000000000003</v>
      </c>
      <c r="D222" s="16">
        <f t="shared" si="10"/>
        <v>471.6</v>
      </c>
      <c r="E222" s="18">
        <f t="shared" si="11"/>
        <v>205.85340000000002</v>
      </c>
    </row>
    <row r="223" spans="1:5" x14ac:dyDescent="0.2">
      <c r="A223" s="3" t="s">
        <v>225</v>
      </c>
      <c r="B223" s="4">
        <v>161.4</v>
      </c>
      <c r="C223" s="5">
        <f t="shared" si="9"/>
        <v>215.20000000000002</v>
      </c>
      <c r="D223" s="16">
        <f t="shared" si="10"/>
        <v>322.8</v>
      </c>
      <c r="E223" s="18">
        <f t="shared" si="11"/>
        <v>140.90219999999999</v>
      </c>
    </row>
    <row r="224" spans="1:5" x14ac:dyDescent="0.2">
      <c r="A224" s="3" t="s">
        <v>226</v>
      </c>
      <c r="B224" s="4">
        <v>317.85000000000002</v>
      </c>
      <c r="C224" s="5">
        <f t="shared" si="9"/>
        <v>423.8</v>
      </c>
      <c r="D224" s="16">
        <f t="shared" si="10"/>
        <v>635.70000000000005</v>
      </c>
      <c r="E224" s="18">
        <f t="shared" si="11"/>
        <v>277.48304999999999</v>
      </c>
    </row>
    <row r="225" spans="1:5" x14ac:dyDescent="0.2">
      <c r="A225" s="3" t="s">
        <v>227</v>
      </c>
      <c r="B225" s="4">
        <v>213.3</v>
      </c>
      <c r="C225" s="5">
        <f t="shared" si="9"/>
        <v>284.40000000000003</v>
      </c>
      <c r="D225" s="16">
        <f t="shared" si="10"/>
        <v>426.6</v>
      </c>
      <c r="E225" s="18">
        <f t="shared" si="11"/>
        <v>186.21090000000001</v>
      </c>
    </row>
    <row r="226" spans="1:5" x14ac:dyDescent="0.2">
      <c r="A226" s="3" t="s">
        <v>228</v>
      </c>
      <c r="B226" s="4">
        <v>213.3</v>
      </c>
      <c r="C226" s="5">
        <f t="shared" si="9"/>
        <v>284.40000000000003</v>
      </c>
      <c r="D226" s="16">
        <f t="shared" si="10"/>
        <v>426.6</v>
      </c>
      <c r="E226" s="18">
        <f t="shared" si="11"/>
        <v>186.21090000000001</v>
      </c>
    </row>
    <row r="227" spans="1:5" x14ac:dyDescent="0.2">
      <c r="A227" s="3" t="s">
        <v>229</v>
      </c>
      <c r="B227" s="4">
        <v>165.60000000000002</v>
      </c>
      <c r="C227" s="5">
        <f t="shared" si="9"/>
        <v>220.80000000000004</v>
      </c>
      <c r="D227" s="16">
        <f t="shared" si="10"/>
        <v>331.20000000000005</v>
      </c>
      <c r="E227" s="18">
        <f t="shared" si="11"/>
        <v>144.56880000000001</v>
      </c>
    </row>
    <row r="228" spans="1:5" x14ac:dyDescent="0.2">
      <c r="A228" s="3" t="s">
        <v>230</v>
      </c>
      <c r="B228" s="4">
        <v>127.35000000000001</v>
      </c>
      <c r="C228" s="5">
        <f t="shared" si="9"/>
        <v>169.8</v>
      </c>
      <c r="D228" s="16">
        <f t="shared" si="10"/>
        <v>254.70000000000002</v>
      </c>
      <c r="E228" s="18">
        <f t="shared" si="11"/>
        <v>111.17655000000001</v>
      </c>
    </row>
    <row r="229" spans="1:5" x14ac:dyDescent="0.2">
      <c r="A229" s="3" t="s">
        <v>231</v>
      </c>
      <c r="B229" s="4">
        <v>19.950000000000003</v>
      </c>
      <c r="C229" s="5">
        <f t="shared" si="9"/>
        <v>26.600000000000005</v>
      </c>
      <c r="D229" s="16">
        <f t="shared" si="10"/>
        <v>39.900000000000006</v>
      </c>
      <c r="E229" s="18">
        <f t="shared" si="11"/>
        <v>17.416350000000001</v>
      </c>
    </row>
    <row r="230" spans="1:5" x14ac:dyDescent="0.2">
      <c r="A230" s="3" t="s">
        <v>232</v>
      </c>
      <c r="B230" s="4">
        <v>42.45</v>
      </c>
      <c r="C230" s="5">
        <f t="shared" si="9"/>
        <v>56.6</v>
      </c>
      <c r="D230" s="16">
        <f t="shared" si="10"/>
        <v>84.9</v>
      </c>
      <c r="E230" s="18">
        <f t="shared" si="11"/>
        <v>37.05885</v>
      </c>
    </row>
    <row r="231" spans="1:5" x14ac:dyDescent="0.2">
      <c r="A231" s="3" t="s">
        <v>233</v>
      </c>
      <c r="B231" s="4">
        <v>42.75</v>
      </c>
      <c r="C231" s="5">
        <f t="shared" si="9"/>
        <v>57</v>
      </c>
      <c r="D231" s="16">
        <f t="shared" si="10"/>
        <v>85.5</v>
      </c>
      <c r="E231" s="18">
        <f t="shared" si="11"/>
        <v>37.320749999999997</v>
      </c>
    </row>
    <row r="232" spans="1:5" x14ac:dyDescent="0.2">
      <c r="A232" s="3" t="s">
        <v>234</v>
      </c>
      <c r="B232" s="4">
        <v>65.25</v>
      </c>
      <c r="C232" s="5">
        <f t="shared" si="9"/>
        <v>87</v>
      </c>
      <c r="D232" s="16">
        <f t="shared" si="10"/>
        <v>130.5</v>
      </c>
      <c r="E232" s="18">
        <f t="shared" si="11"/>
        <v>56.963250000000002</v>
      </c>
    </row>
    <row r="233" spans="1:5" x14ac:dyDescent="0.2">
      <c r="A233" s="3" t="s">
        <v>235</v>
      </c>
      <c r="B233" s="4">
        <v>139.80000000000001</v>
      </c>
      <c r="C233" s="5">
        <f t="shared" si="9"/>
        <v>186.4</v>
      </c>
      <c r="D233" s="16">
        <f t="shared" si="10"/>
        <v>279.60000000000002</v>
      </c>
      <c r="E233" s="18">
        <f t="shared" si="11"/>
        <v>122.04540000000001</v>
      </c>
    </row>
    <row r="234" spans="1:5" x14ac:dyDescent="0.2">
      <c r="A234" s="3" t="s">
        <v>236</v>
      </c>
      <c r="B234" s="4">
        <v>63.600000000000009</v>
      </c>
      <c r="C234" s="5">
        <f t="shared" si="9"/>
        <v>84.800000000000011</v>
      </c>
      <c r="D234" s="16">
        <f t="shared" si="10"/>
        <v>127.20000000000002</v>
      </c>
      <c r="E234" s="18">
        <f t="shared" si="11"/>
        <v>55.522800000000011</v>
      </c>
    </row>
    <row r="235" spans="1:5" x14ac:dyDescent="0.2">
      <c r="A235" s="3" t="s">
        <v>237</v>
      </c>
      <c r="B235" s="4">
        <v>86.550000000000011</v>
      </c>
      <c r="C235" s="5">
        <f t="shared" si="9"/>
        <v>115.40000000000002</v>
      </c>
      <c r="D235" s="16">
        <f t="shared" si="10"/>
        <v>173.10000000000002</v>
      </c>
      <c r="E235" s="18">
        <f t="shared" si="11"/>
        <v>75.558150000000012</v>
      </c>
    </row>
    <row r="236" spans="1:5" x14ac:dyDescent="0.2">
      <c r="A236" s="3" t="s">
        <v>238</v>
      </c>
      <c r="B236" s="4">
        <v>29.550000000000004</v>
      </c>
      <c r="C236" s="5">
        <f t="shared" si="9"/>
        <v>39.400000000000006</v>
      </c>
      <c r="D236" s="16">
        <f t="shared" si="10"/>
        <v>59.100000000000009</v>
      </c>
      <c r="E236" s="18">
        <f t="shared" si="11"/>
        <v>25.797150000000002</v>
      </c>
    </row>
    <row r="237" spans="1:5" x14ac:dyDescent="0.2">
      <c r="A237" s="3" t="s">
        <v>239</v>
      </c>
      <c r="B237" s="4">
        <v>63</v>
      </c>
      <c r="C237" s="5">
        <f t="shared" si="9"/>
        <v>84</v>
      </c>
      <c r="D237" s="16">
        <f t="shared" si="10"/>
        <v>126</v>
      </c>
      <c r="E237" s="18">
        <f t="shared" si="11"/>
        <v>54.999000000000002</v>
      </c>
    </row>
    <row r="238" spans="1:5" x14ac:dyDescent="0.2">
      <c r="A238" s="3" t="s">
        <v>240</v>
      </c>
      <c r="B238" s="4">
        <v>205.35000000000002</v>
      </c>
      <c r="C238" s="5">
        <f t="shared" si="9"/>
        <v>273.8</v>
      </c>
      <c r="D238" s="16">
        <f t="shared" si="10"/>
        <v>410.70000000000005</v>
      </c>
      <c r="E238" s="18">
        <f t="shared" si="11"/>
        <v>179.27055000000001</v>
      </c>
    </row>
    <row r="239" spans="1:5" x14ac:dyDescent="0.2">
      <c r="A239" s="3" t="s">
        <v>241</v>
      </c>
      <c r="B239" s="4">
        <v>250.95000000000002</v>
      </c>
      <c r="C239" s="5">
        <f t="shared" si="9"/>
        <v>334.6</v>
      </c>
      <c r="D239" s="16">
        <f t="shared" si="10"/>
        <v>501.90000000000003</v>
      </c>
      <c r="E239" s="18">
        <f t="shared" si="11"/>
        <v>219.07935000000001</v>
      </c>
    </row>
    <row r="240" spans="1:5" x14ac:dyDescent="0.2">
      <c r="A240" s="3" t="s">
        <v>242</v>
      </c>
      <c r="B240" s="4">
        <v>261.3</v>
      </c>
      <c r="C240" s="5">
        <f t="shared" si="9"/>
        <v>348.40000000000003</v>
      </c>
      <c r="D240" s="16">
        <f t="shared" si="10"/>
        <v>522.6</v>
      </c>
      <c r="E240" s="18">
        <f t="shared" si="11"/>
        <v>228.11490000000001</v>
      </c>
    </row>
    <row r="241" spans="1:5" x14ac:dyDescent="0.2">
      <c r="A241" s="3" t="s">
        <v>243</v>
      </c>
      <c r="B241" s="4">
        <v>244.8</v>
      </c>
      <c r="C241" s="5">
        <f t="shared" si="9"/>
        <v>326.40000000000003</v>
      </c>
      <c r="D241" s="16">
        <f t="shared" si="10"/>
        <v>489.6</v>
      </c>
      <c r="E241" s="18">
        <f t="shared" si="11"/>
        <v>213.71040000000002</v>
      </c>
    </row>
    <row r="242" spans="1:5" x14ac:dyDescent="0.2">
      <c r="A242" s="3" t="s">
        <v>244</v>
      </c>
      <c r="B242" s="4">
        <v>257.55</v>
      </c>
      <c r="C242" s="5">
        <f t="shared" si="9"/>
        <v>343.40000000000003</v>
      </c>
      <c r="D242" s="16">
        <f t="shared" si="10"/>
        <v>515.1</v>
      </c>
      <c r="E242" s="18">
        <f t="shared" si="11"/>
        <v>224.84115</v>
      </c>
    </row>
    <row r="243" spans="1:5" x14ac:dyDescent="0.2">
      <c r="A243" s="3" t="s">
        <v>245</v>
      </c>
      <c r="B243" s="4">
        <v>104.55000000000001</v>
      </c>
      <c r="C243" s="5">
        <f t="shared" si="9"/>
        <v>139.4</v>
      </c>
      <c r="D243" s="16">
        <f t="shared" si="10"/>
        <v>209.10000000000002</v>
      </c>
      <c r="E243" s="18">
        <f t="shared" si="11"/>
        <v>91.272150000000011</v>
      </c>
    </row>
    <row r="244" spans="1:5" x14ac:dyDescent="0.2">
      <c r="A244" s="3" t="s">
        <v>246</v>
      </c>
      <c r="B244" s="4">
        <v>136.35000000000002</v>
      </c>
      <c r="C244" s="5">
        <f t="shared" si="9"/>
        <v>181.80000000000004</v>
      </c>
      <c r="D244" s="16">
        <f t="shared" si="10"/>
        <v>272.70000000000005</v>
      </c>
      <c r="E244" s="18">
        <f t="shared" si="11"/>
        <v>119.03355000000002</v>
      </c>
    </row>
    <row r="245" spans="1:5" x14ac:dyDescent="0.2">
      <c r="A245" s="3" t="s">
        <v>247</v>
      </c>
      <c r="B245" s="4">
        <v>331.05</v>
      </c>
      <c r="C245" s="5">
        <f t="shared" si="9"/>
        <v>441.40000000000003</v>
      </c>
      <c r="D245" s="16">
        <f t="shared" si="10"/>
        <v>662.1</v>
      </c>
      <c r="E245" s="18">
        <f t="shared" si="11"/>
        <v>289.00665000000004</v>
      </c>
    </row>
    <row r="246" spans="1:5" x14ac:dyDescent="0.2">
      <c r="A246" s="3" t="s">
        <v>248</v>
      </c>
      <c r="B246" s="4">
        <v>152.85000000000002</v>
      </c>
      <c r="C246" s="5">
        <f t="shared" si="9"/>
        <v>203.80000000000004</v>
      </c>
      <c r="D246" s="16">
        <f t="shared" si="10"/>
        <v>305.70000000000005</v>
      </c>
      <c r="E246" s="18">
        <f t="shared" si="11"/>
        <v>133.43805000000003</v>
      </c>
    </row>
    <row r="247" spans="1:5" x14ac:dyDescent="0.2">
      <c r="A247" s="8" t="s">
        <v>249</v>
      </c>
      <c r="B247" s="4">
        <v>226.05</v>
      </c>
      <c r="C247" s="5">
        <f t="shared" si="9"/>
        <v>301.40000000000003</v>
      </c>
      <c r="D247" s="16">
        <f t="shared" si="10"/>
        <v>452.1</v>
      </c>
      <c r="E247" s="18">
        <f t="shared" si="11"/>
        <v>197.34165000000002</v>
      </c>
    </row>
    <row r="248" spans="1:5" x14ac:dyDescent="0.2">
      <c r="A248" s="8" t="s">
        <v>250</v>
      </c>
      <c r="B248" s="6" t="e">
        <v>#VALUE!</v>
      </c>
      <c r="C248" s="5" t="e">
        <f t="shared" si="9"/>
        <v>#VALUE!</v>
      </c>
      <c r="D248" s="16" t="e">
        <f t="shared" si="10"/>
        <v>#VALUE!</v>
      </c>
      <c r="E248" s="18" t="e">
        <f t="shared" si="11"/>
        <v>#VALUE!</v>
      </c>
    </row>
    <row r="249" spans="1:5" x14ac:dyDescent="0.2">
      <c r="A249" s="8" t="s">
        <v>251</v>
      </c>
      <c r="B249" s="4">
        <v>159</v>
      </c>
      <c r="C249" s="5">
        <f t="shared" si="9"/>
        <v>212</v>
      </c>
      <c r="D249" s="16">
        <f t="shared" si="10"/>
        <v>318</v>
      </c>
      <c r="E249" s="18">
        <f t="shared" si="11"/>
        <v>138.80699999999999</v>
      </c>
    </row>
    <row r="250" spans="1:5" x14ac:dyDescent="0.2">
      <c r="A250" s="8" t="s">
        <v>252</v>
      </c>
      <c r="B250" s="4">
        <v>431.25</v>
      </c>
      <c r="C250" s="5">
        <f t="shared" si="9"/>
        <v>575</v>
      </c>
      <c r="D250" s="16">
        <f t="shared" si="10"/>
        <v>862.5</v>
      </c>
      <c r="E250" s="18">
        <f t="shared" si="11"/>
        <v>376.48124999999999</v>
      </c>
    </row>
    <row r="251" spans="1:5" x14ac:dyDescent="0.2">
      <c r="A251" s="8" t="s">
        <v>253</v>
      </c>
      <c r="B251" s="4">
        <v>407.1</v>
      </c>
      <c r="C251" s="5">
        <f t="shared" si="9"/>
        <v>542.80000000000007</v>
      </c>
      <c r="D251" s="16">
        <f t="shared" si="10"/>
        <v>814.2</v>
      </c>
      <c r="E251" s="18">
        <f t="shared" si="11"/>
        <v>355.39830000000001</v>
      </c>
    </row>
    <row r="252" spans="1:5" x14ac:dyDescent="0.2">
      <c r="A252" s="8" t="s">
        <v>254</v>
      </c>
      <c r="B252" s="4">
        <v>346.8</v>
      </c>
      <c r="C252" s="5">
        <f t="shared" si="9"/>
        <v>462.40000000000003</v>
      </c>
      <c r="D252" s="16">
        <f t="shared" si="10"/>
        <v>693.6</v>
      </c>
      <c r="E252" s="18">
        <f t="shared" si="11"/>
        <v>302.75639999999999</v>
      </c>
    </row>
    <row r="253" spans="1:5" x14ac:dyDescent="0.2">
      <c r="A253" s="8" t="s">
        <v>255</v>
      </c>
      <c r="B253" s="4">
        <v>428.70000000000005</v>
      </c>
      <c r="C253" s="5">
        <f t="shared" si="9"/>
        <v>571.6</v>
      </c>
      <c r="D253" s="16">
        <f t="shared" si="10"/>
        <v>857.40000000000009</v>
      </c>
      <c r="E253" s="18">
        <f t="shared" si="11"/>
        <v>374.25510000000003</v>
      </c>
    </row>
    <row r="254" spans="1:5" x14ac:dyDescent="0.2">
      <c r="A254" s="9" t="s">
        <v>256</v>
      </c>
      <c r="B254" s="4">
        <v>497.55000000000007</v>
      </c>
      <c r="C254" s="5">
        <f t="shared" si="9"/>
        <v>663.40000000000009</v>
      </c>
      <c r="D254" s="16">
        <f t="shared" si="10"/>
        <v>995.10000000000014</v>
      </c>
      <c r="E254" s="18">
        <f t="shared" si="11"/>
        <v>434.36115000000007</v>
      </c>
    </row>
    <row r="255" spans="1:5" x14ac:dyDescent="0.2">
      <c r="A255" s="3" t="s">
        <v>257</v>
      </c>
      <c r="B255" s="4">
        <v>438.15000000000003</v>
      </c>
      <c r="C255" s="5">
        <f t="shared" si="9"/>
        <v>584.20000000000005</v>
      </c>
      <c r="D255" s="16">
        <f t="shared" si="10"/>
        <v>876.30000000000007</v>
      </c>
      <c r="E255" s="18">
        <f t="shared" si="11"/>
        <v>382.50495000000001</v>
      </c>
    </row>
    <row r="256" spans="1:5" x14ac:dyDescent="0.2">
      <c r="A256" s="3" t="s">
        <v>258</v>
      </c>
      <c r="B256" s="4">
        <v>579.45000000000005</v>
      </c>
      <c r="C256" s="5">
        <f t="shared" si="9"/>
        <v>772.6</v>
      </c>
      <c r="D256" s="16">
        <f t="shared" si="10"/>
        <v>1158.9000000000001</v>
      </c>
      <c r="E256" s="18">
        <f t="shared" si="11"/>
        <v>505.85985000000005</v>
      </c>
    </row>
    <row r="257" spans="1:5" x14ac:dyDescent="0.2">
      <c r="A257" s="3" t="s">
        <v>259</v>
      </c>
      <c r="B257" s="4">
        <v>79.5</v>
      </c>
      <c r="C257" s="5">
        <f t="shared" si="9"/>
        <v>106</v>
      </c>
      <c r="D257" s="16">
        <f t="shared" si="10"/>
        <v>159</v>
      </c>
      <c r="E257" s="18">
        <f t="shared" si="11"/>
        <v>69.403499999999994</v>
      </c>
    </row>
    <row r="258" spans="1:5" x14ac:dyDescent="0.2">
      <c r="A258" s="3" t="s">
        <v>260</v>
      </c>
      <c r="B258" s="4">
        <v>95.850000000000009</v>
      </c>
      <c r="C258" s="5">
        <f t="shared" si="9"/>
        <v>127.80000000000001</v>
      </c>
      <c r="D258" s="16">
        <f t="shared" si="10"/>
        <v>191.70000000000002</v>
      </c>
      <c r="E258" s="18">
        <f t="shared" si="11"/>
        <v>83.677050000000008</v>
      </c>
    </row>
    <row r="259" spans="1:5" x14ac:dyDescent="0.2">
      <c r="A259" s="3" t="s">
        <v>261</v>
      </c>
      <c r="B259" s="4">
        <v>120</v>
      </c>
      <c r="C259" s="5">
        <f t="shared" ref="C259:C322" si="12">B259/0.75</f>
        <v>160</v>
      </c>
      <c r="D259" s="16">
        <f t="shared" ref="D259:D322" si="13">B259*2</f>
        <v>240</v>
      </c>
      <c r="E259" s="18">
        <f t="shared" ref="E259:E322" si="14">B259*0.873</f>
        <v>104.76</v>
      </c>
    </row>
    <row r="260" spans="1:5" x14ac:dyDescent="0.2">
      <c r="A260" s="3" t="s">
        <v>262</v>
      </c>
      <c r="B260" s="4">
        <v>146.25</v>
      </c>
      <c r="C260" s="5">
        <f t="shared" si="12"/>
        <v>195</v>
      </c>
      <c r="D260" s="16">
        <f t="shared" si="13"/>
        <v>292.5</v>
      </c>
      <c r="E260" s="18">
        <f t="shared" si="14"/>
        <v>127.67625</v>
      </c>
    </row>
    <row r="261" spans="1:5" x14ac:dyDescent="0.2">
      <c r="A261" s="3" t="s">
        <v>263</v>
      </c>
      <c r="B261" s="4">
        <v>160.80000000000001</v>
      </c>
      <c r="C261" s="5">
        <f t="shared" si="12"/>
        <v>214.4</v>
      </c>
      <c r="D261" s="16">
        <f t="shared" si="13"/>
        <v>321.60000000000002</v>
      </c>
      <c r="E261" s="18">
        <f t="shared" si="14"/>
        <v>140.3784</v>
      </c>
    </row>
    <row r="262" spans="1:5" x14ac:dyDescent="0.2">
      <c r="A262" s="7" t="s">
        <v>264</v>
      </c>
      <c r="B262" s="4">
        <v>143.4</v>
      </c>
      <c r="C262" s="5">
        <f t="shared" si="12"/>
        <v>191.20000000000002</v>
      </c>
      <c r="D262" s="16">
        <f t="shared" si="13"/>
        <v>286.8</v>
      </c>
      <c r="E262" s="18">
        <f t="shared" si="14"/>
        <v>125.18820000000001</v>
      </c>
    </row>
    <row r="263" spans="1:5" x14ac:dyDescent="0.2">
      <c r="A263" s="3" t="s">
        <v>265</v>
      </c>
      <c r="B263" s="4">
        <v>66.600000000000009</v>
      </c>
      <c r="C263" s="5">
        <f t="shared" si="12"/>
        <v>88.800000000000011</v>
      </c>
      <c r="D263" s="16">
        <f t="shared" si="13"/>
        <v>133.20000000000002</v>
      </c>
      <c r="E263" s="18">
        <f t="shared" si="14"/>
        <v>58.141800000000011</v>
      </c>
    </row>
    <row r="264" spans="1:5" x14ac:dyDescent="0.2">
      <c r="A264" s="3" t="s">
        <v>266</v>
      </c>
      <c r="B264" s="4">
        <v>39.900000000000006</v>
      </c>
      <c r="C264" s="5">
        <f t="shared" si="12"/>
        <v>53.20000000000001</v>
      </c>
      <c r="D264" s="16">
        <f t="shared" si="13"/>
        <v>79.800000000000011</v>
      </c>
      <c r="E264" s="18">
        <f t="shared" si="14"/>
        <v>34.832700000000003</v>
      </c>
    </row>
    <row r="265" spans="1:5" x14ac:dyDescent="0.2">
      <c r="A265" s="3" t="s">
        <v>267</v>
      </c>
      <c r="B265" s="4">
        <v>135.15</v>
      </c>
      <c r="C265" s="5">
        <f t="shared" si="12"/>
        <v>180.20000000000002</v>
      </c>
      <c r="D265" s="16">
        <f t="shared" si="13"/>
        <v>270.3</v>
      </c>
      <c r="E265" s="18">
        <f t="shared" si="14"/>
        <v>117.98595</v>
      </c>
    </row>
    <row r="266" spans="1:5" x14ac:dyDescent="0.2">
      <c r="A266" s="7" t="s">
        <v>268</v>
      </c>
      <c r="B266" s="4">
        <v>136.95000000000002</v>
      </c>
      <c r="C266" s="5">
        <f t="shared" si="12"/>
        <v>182.60000000000002</v>
      </c>
      <c r="D266" s="16">
        <f t="shared" si="13"/>
        <v>273.90000000000003</v>
      </c>
      <c r="E266" s="18">
        <f t="shared" si="14"/>
        <v>119.55735000000001</v>
      </c>
    </row>
    <row r="267" spans="1:5" x14ac:dyDescent="0.2">
      <c r="A267" s="7" t="s">
        <v>269</v>
      </c>
      <c r="B267" s="4">
        <v>141</v>
      </c>
      <c r="C267" s="5">
        <f t="shared" si="12"/>
        <v>188</v>
      </c>
      <c r="D267" s="16">
        <f t="shared" si="13"/>
        <v>282</v>
      </c>
      <c r="E267" s="18">
        <f t="shared" si="14"/>
        <v>123.093</v>
      </c>
    </row>
    <row r="268" spans="1:5" x14ac:dyDescent="0.2">
      <c r="A268" s="3" t="s">
        <v>270</v>
      </c>
      <c r="B268" s="4">
        <v>188.10000000000002</v>
      </c>
      <c r="C268" s="5">
        <f t="shared" si="12"/>
        <v>250.80000000000004</v>
      </c>
      <c r="D268" s="16">
        <f t="shared" si="13"/>
        <v>376.20000000000005</v>
      </c>
      <c r="E268" s="18">
        <f t="shared" si="14"/>
        <v>164.21130000000002</v>
      </c>
    </row>
    <row r="269" spans="1:5" x14ac:dyDescent="0.2">
      <c r="A269" s="7" t="s">
        <v>271</v>
      </c>
      <c r="B269" s="4">
        <v>139.95000000000002</v>
      </c>
      <c r="C269" s="5">
        <f t="shared" si="12"/>
        <v>186.60000000000002</v>
      </c>
      <c r="D269" s="16">
        <f t="shared" si="13"/>
        <v>279.90000000000003</v>
      </c>
      <c r="E269" s="18">
        <f t="shared" si="14"/>
        <v>122.17635000000001</v>
      </c>
    </row>
    <row r="270" spans="1:5" x14ac:dyDescent="0.2">
      <c r="A270" s="3" t="s">
        <v>272</v>
      </c>
      <c r="B270" s="4">
        <v>172.05</v>
      </c>
      <c r="C270" s="5">
        <f t="shared" si="12"/>
        <v>229.4</v>
      </c>
      <c r="D270" s="16">
        <f t="shared" si="13"/>
        <v>344.1</v>
      </c>
      <c r="E270" s="18">
        <f t="shared" si="14"/>
        <v>150.19965000000002</v>
      </c>
    </row>
    <row r="271" spans="1:5" x14ac:dyDescent="0.2">
      <c r="A271" s="3" t="s">
        <v>273</v>
      </c>
      <c r="B271" s="4">
        <v>97.949999999999989</v>
      </c>
      <c r="C271" s="5">
        <f t="shared" si="12"/>
        <v>130.6</v>
      </c>
      <c r="D271" s="16">
        <f t="shared" si="13"/>
        <v>195.89999999999998</v>
      </c>
      <c r="E271" s="18">
        <f t="shared" si="14"/>
        <v>85.510349999999988</v>
      </c>
    </row>
    <row r="272" spans="1:5" x14ac:dyDescent="0.2">
      <c r="A272" s="3" t="s">
        <v>274</v>
      </c>
      <c r="B272" s="4">
        <v>216.45000000000002</v>
      </c>
      <c r="C272" s="5">
        <f t="shared" si="12"/>
        <v>288.60000000000002</v>
      </c>
      <c r="D272" s="16">
        <f t="shared" si="13"/>
        <v>432.90000000000003</v>
      </c>
      <c r="E272" s="18">
        <f t="shared" si="14"/>
        <v>188.96085000000002</v>
      </c>
    </row>
    <row r="273" spans="1:5" x14ac:dyDescent="0.2">
      <c r="A273" s="3" t="s">
        <v>275</v>
      </c>
      <c r="B273" s="4">
        <v>146.55000000000001</v>
      </c>
      <c r="C273" s="5">
        <f t="shared" si="12"/>
        <v>195.4</v>
      </c>
      <c r="D273" s="16">
        <f t="shared" si="13"/>
        <v>293.10000000000002</v>
      </c>
      <c r="E273" s="18">
        <f t="shared" si="14"/>
        <v>127.93815000000001</v>
      </c>
    </row>
    <row r="274" spans="1:5" x14ac:dyDescent="0.2">
      <c r="A274" s="3" t="s">
        <v>276</v>
      </c>
      <c r="B274" s="4">
        <v>86.25</v>
      </c>
      <c r="C274" s="5">
        <f t="shared" si="12"/>
        <v>115</v>
      </c>
      <c r="D274" s="16">
        <f t="shared" si="13"/>
        <v>172.5</v>
      </c>
      <c r="E274" s="18">
        <f t="shared" si="14"/>
        <v>75.296250000000001</v>
      </c>
    </row>
    <row r="275" spans="1:5" x14ac:dyDescent="0.2">
      <c r="A275" s="3" t="s">
        <v>277</v>
      </c>
      <c r="B275" s="4">
        <v>286.5</v>
      </c>
      <c r="C275" s="5">
        <f t="shared" si="12"/>
        <v>382</v>
      </c>
      <c r="D275" s="16">
        <f t="shared" si="13"/>
        <v>573</v>
      </c>
      <c r="E275" s="18">
        <f t="shared" si="14"/>
        <v>250.11449999999999</v>
      </c>
    </row>
    <row r="276" spans="1:5" x14ac:dyDescent="0.2">
      <c r="A276" s="3" t="s">
        <v>278</v>
      </c>
      <c r="B276" s="4">
        <v>48.300000000000004</v>
      </c>
      <c r="C276" s="5">
        <f t="shared" si="12"/>
        <v>64.400000000000006</v>
      </c>
      <c r="D276" s="16">
        <f t="shared" si="13"/>
        <v>96.600000000000009</v>
      </c>
      <c r="E276" s="18">
        <f t="shared" si="14"/>
        <v>42.165900000000001</v>
      </c>
    </row>
    <row r="277" spans="1:5" x14ac:dyDescent="0.2">
      <c r="A277" s="3" t="s">
        <v>279</v>
      </c>
      <c r="B277" s="4">
        <v>49.2</v>
      </c>
      <c r="C277" s="5">
        <f t="shared" si="12"/>
        <v>65.600000000000009</v>
      </c>
      <c r="D277" s="16">
        <f t="shared" si="13"/>
        <v>98.4</v>
      </c>
      <c r="E277" s="18">
        <f t="shared" si="14"/>
        <v>42.951599999999999</v>
      </c>
    </row>
    <row r="278" spans="1:5" x14ac:dyDescent="0.2">
      <c r="A278" s="3" t="s">
        <v>280</v>
      </c>
      <c r="B278" s="4">
        <v>52.650000000000006</v>
      </c>
      <c r="C278" s="5">
        <f t="shared" si="12"/>
        <v>70.2</v>
      </c>
      <c r="D278" s="16">
        <f t="shared" si="13"/>
        <v>105.30000000000001</v>
      </c>
      <c r="E278" s="18">
        <f t="shared" si="14"/>
        <v>45.963450000000002</v>
      </c>
    </row>
    <row r="279" spans="1:5" x14ac:dyDescent="0.2">
      <c r="A279" s="3" t="s">
        <v>281</v>
      </c>
      <c r="B279" s="4">
        <v>135.30000000000001</v>
      </c>
      <c r="C279" s="5">
        <f t="shared" si="12"/>
        <v>180.4</v>
      </c>
      <c r="D279" s="16">
        <f t="shared" si="13"/>
        <v>270.60000000000002</v>
      </c>
      <c r="E279" s="18">
        <f t="shared" si="14"/>
        <v>118.11690000000002</v>
      </c>
    </row>
    <row r="280" spans="1:5" x14ac:dyDescent="0.2">
      <c r="A280" s="3" t="s">
        <v>282</v>
      </c>
      <c r="B280" s="4">
        <v>96.449999999999989</v>
      </c>
      <c r="C280" s="5">
        <f t="shared" si="12"/>
        <v>128.6</v>
      </c>
      <c r="D280" s="16">
        <f t="shared" si="13"/>
        <v>192.89999999999998</v>
      </c>
      <c r="E280" s="18">
        <f t="shared" si="14"/>
        <v>84.200849999999988</v>
      </c>
    </row>
    <row r="281" spans="1:5" x14ac:dyDescent="0.2">
      <c r="A281" s="3" t="s">
        <v>283</v>
      </c>
      <c r="B281" s="4">
        <v>58.2</v>
      </c>
      <c r="C281" s="5">
        <f t="shared" si="12"/>
        <v>77.600000000000009</v>
      </c>
      <c r="D281" s="16">
        <f t="shared" si="13"/>
        <v>116.4</v>
      </c>
      <c r="E281" s="18">
        <f t="shared" si="14"/>
        <v>50.808600000000006</v>
      </c>
    </row>
    <row r="282" spans="1:5" x14ac:dyDescent="0.2">
      <c r="A282" s="3" t="s">
        <v>284</v>
      </c>
      <c r="B282" s="4">
        <v>61.800000000000004</v>
      </c>
      <c r="C282" s="5">
        <f t="shared" si="12"/>
        <v>82.4</v>
      </c>
      <c r="D282" s="16">
        <f t="shared" si="13"/>
        <v>123.60000000000001</v>
      </c>
      <c r="E282" s="18">
        <f t="shared" si="14"/>
        <v>53.951400000000007</v>
      </c>
    </row>
    <row r="283" spans="1:5" x14ac:dyDescent="0.2">
      <c r="A283" s="3" t="s">
        <v>285</v>
      </c>
      <c r="B283" s="4">
        <v>86.25</v>
      </c>
      <c r="C283" s="5">
        <f t="shared" si="12"/>
        <v>115</v>
      </c>
      <c r="D283" s="16">
        <f t="shared" si="13"/>
        <v>172.5</v>
      </c>
      <c r="E283" s="18">
        <f t="shared" si="14"/>
        <v>75.296250000000001</v>
      </c>
    </row>
    <row r="284" spans="1:5" x14ac:dyDescent="0.2">
      <c r="A284" s="3" t="s">
        <v>286</v>
      </c>
      <c r="B284" s="4">
        <v>99.300000000000011</v>
      </c>
      <c r="C284" s="5">
        <f t="shared" si="12"/>
        <v>132.4</v>
      </c>
      <c r="D284" s="16">
        <f t="shared" si="13"/>
        <v>198.60000000000002</v>
      </c>
      <c r="E284" s="18">
        <f t="shared" si="14"/>
        <v>86.688900000000004</v>
      </c>
    </row>
    <row r="285" spans="1:5" x14ac:dyDescent="0.2">
      <c r="A285" s="3" t="s">
        <v>287</v>
      </c>
      <c r="B285" s="4">
        <v>161.85000000000002</v>
      </c>
      <c r="C285" s="5">
        <f t="shared" si="12"/>
        <v>215.80000000000004</v>
      </c>
      <c r="D285" s="16">
        <f t="shared" si="13"/>
        <v>323.70000000000005</v>
      </c>
      <c r="E285" s="18">
        <f t="shared" si="14"/>
        <v>141.29505000000003</v>
      </c>
    </row>
    <row r="286" spans="1:5" x14ac:dyDescent="0.2">
      <c r="A286" s="3" t="s">
        <v>288</v>
      </c>
      <c r="B286" s="4">
        <v>84.300000000000011</v>
      </c>
      <c r="C286" s="5">
        <f t="shared" si="12"/>
        <v>112.40000000000002</v>
      </c>
      <c r="D286" s="16">
        <f t="shared" si="13"/>
        <v>168.60000000000002</v>
      </c>
      <c r="E286" s="18">
        <f t="shared" si="14"/>
        <v>73.593900000000005</v>
      </c>
    </row>
    <row r="287" spans="1:5" x14ac:dyDescent="0.2">
      <c r="A287" s="3" t="s">
        <v>289</v>
      </c>
      <c r="B287" s="4">
        <v>80.400000000000006</v>
      </c>
      <c r="C287" s="5">
        <f t="shared" si="12"/>
        <v>107.2</v>
      </c>
      <c r="D287" s="16">
        <f t="shared" si="13"/>
        <v>160.80000000000001</v>
      </c>
      <c r="E287" s="18">
        <f t="shared" si="14"/>
        <v>70.1892</v>
      </c>
    </row>
    <row r="288" spans="1:5" x14ac:dyDescent="0.2">
      <c r="A288" s="3" t="s">
        <v>290</v>
      </c>
      <c r="B288" s="4">
        <v>93.75</v>
      </c>
      <c r="C288" s="5">
        <f t="shared" si="12"/>
        <v>125</v>
      </c>
      <c r="D288" s="16">
        <f t="shared" si="13"/>
        <v>187.5</v>
      </c>
      <c r="E288" s="18">
        <f t="shared" si="14"/>
        <v>81.84375</v>
      </c>
    </row>
    <row r="289" spans="1:5" x14ac:dyDescent="0.2">
      <c r="A289" s="3" t="s">
        <v>291</v>
      </c>
      <c r="B289" s="4">
        <v>105.15</v>
      </c>
      <c r="C289" s="5">
        <f t="shared" si="12"/>
        <v>140.20000000000002</v>
      </c>
      <c r="D289" s="16">
        <f t="shared" si="13"/>
        <v>210.3</v>
      </c>
      <c r="E289" s="18">
        <f t="shared" si="14"/>
        <v>91.795950000000005</v>
      </c>
    </row>
    <row r="290" spans="1:5" x14ac:dyDescent="0.2">
      <c r="A290" s="3" t="s">
        <v>292</v>
      </c>
      <c r="B290" s="4">
        <v>120.60000000000001</v>
      </c>
      <c r="C290" s="5">
        <f t="shared" si="12"/>
        <v>160.80000000000001</v>
      </c>
      <c r="D290" s="16">
        <f t="shared" si="13"/>
        <v>241.20000000000002</v>
      </c>
      <c r="E290" s="18">
        <f t="shared" si="14"/>
        <v>105.28380000000001</v>
      </c>
    </row>
    <row r="291" spans="1:5" x14ac:dyDescent="0.2">
      <c r="A291" s="3" t="s">
        <v>293</v>
      </c>
      <c r="B291" s="4">
        <v>120.60000000000001</v>
      </c>
      <c r="C291" s="5">
        <f t="shared" si="12"/>
        <v>160.80000000000001</v>
      </c>
      <c r="D291" s="16">
        <f t="shared" si="13"/>
        <v>241.20000000000002</v>
      </c>
      <c r="E291" s="18">
        <f t="shared" si="14"/>
        <v>105.28380000000001</v>
      </c>
    </row>
    <row r="292" spans="1:5" x14ac:dyDescent="0.2">
      <c r="A292" s="3" t="s">
        <v>294</v>
      </c>
      <c r="B292" s="4">
        <v>160.80000000000001</v>
      </c>
      <c r="C292" s="5">
        <f t="shared" si="12"/>
        <v>214.4</v>
      </c>
      <c r="D292" s="16">
        <f t="shared" si="13"/>
        <v>321.60000000000002</v>
      </c>
      <c r="E292" s="18">
        <f t="shared" si="14"/>
        <v>140.3784</v>
      </c>
    </row>
    <row r="293" spans="1:5" x14ac:dyDescent="0.2">
      <c r="A293" s="3" t="s">
        <v>295</v>
      </c>
      <c r="B293" s="4">
        <v>154.20000000000002</v>
      </c>
      <c r="C293" s="5">
        <f t="shared" si="12"/>
        <v>205.60000000000002</v>
      </c>
      <c r="D293" s="16">
        <f t="shared" si="13"/>
        <v>308.40000000000003</v>
      </c>
      <c r="E293" s="18">
        <f t="shared" si="14"/>
        <v>134.61660000000001</v>
      </c>
    </row>
    <row r="294" spans="1:5" x14ac:dyDescent="0.2">
      <c r="A294" s="3" t="s">
        <v>296</v>
      </c>
      <c r="B294" s="4">
        <v>200.25</v>
      </c>
      <c r="C294" s="5">
        <f t="shared" si="12"/>
        <v>267</v>
      </c>
      <c r="D294" s="16">
        <f t="shared" si="13"/>
        <v>400.5</v>
      </c>
      <c r="E294" s="18">
        <f t="shared" si="14"/>
        <v>174.81825000000001</v>
      </c>
    </row>
    <row r="295" spans="1:5" x14ac:dyDescent="0.2">
      <c r="A295" s="3" t="s">
        <v>297</v>
      </c>
      <c r="B295" s="4">
        <v>82.800000000000011</v>
      </c>
      <c r="C295" s="5">
        <f t="shared" si="12"/>
        <v>110.40000000000002</v>
      </c>
      <c r="D295" s="16">
        <f t="shared" si="13"/>
        <v>165.60000000000002</v>
      </c>
      <c r="E295" s="18">
        <f t="shared" si="14"/>
        <v>72.284400000000005</v>
      </c>
    </row>
    <row r="296" spans="1:5" x14ac:dyDescent="0.2">
      <c r="A296" s="3" t="s">
        <v>298</v>
      </c>
      <c r="B296" s="4">
        <v>85.65</v>
      </c>
      <c r="C296" s="5">
        <f t="shared" si="12"/>
        <v>114.2</v>
      </c>
      <c r="D296" s="16">
        <f t="shared" si="13"/>
        <v>171.3</v>
      </c>
      <c r="E296" s="18">
        <f t="shared" si="14"/>
        <v>74.772450000000006</v>
      </c>
    </row>
    <row r="297" spans="1:5" x14ac:dyDescent="0.2">
      <c r="A297" s="3" t="s">
        <v>299</v>
      </c>
      <c r="B297" s="4">
        <v>28.049999999999997</v>
      </c>
      <c r="C297" s="5">
        <f t="shared" si="12"/>
        <v>37.4</v>
      </c>
      <c r="D297" s="16">
        <f t="shared" si="13"/>
        <v>56.099999999999994</v>
      </c>
      <c r="E297" s="18">
        <f t="shared" si="14"/>
        <v>24.487649999999999</v>
      </c>
    </row>
    <row r="298" spans="1:5" x14ac:dyDescent="0.2">
      <c r="A298" s="3" t="s">
        <v>300</v>
      </c>
      <c r="B298" s="4">
        <v>28.800000000000004</v>
      </c>
      <c r="C298" s="5">
        <f t="shared" si="12"/>
        <v>38.400000000000006</v>
      </c>
      <c r="D298" s="16">
        <f t="shared" si="13"/>
        <v>57.600000000000009</v>
      </c>
      <c r="E298" s="18">
        <f t="shared" si="14"/>
        <v>25.142400000000002</v>
      </c>
    </row>
    <row r="299" spans="1:5" x14ac:dyDescent="0.2">
      <c r="A299" s="3" t="s">
        <v>301</v>
      </c>
      <c r="B299" s="4">
        <v>34.950000000000003</v>
      </c>
      <c r="C299" s="5">
        <f t="shared" si="12"/>
        <v>46.6</v>
      </c>
      <c r="D299" s="16">
        <f t="shared" si="13"/>
        <v>69.900000000000006</v>
      </c>
      <c r="E299" s="18">
        <f t="shared" si="14"/>
        <v>30.511350000000004</v>
      </c>
    </row>
    <row r="300" spans="1:5" x14ac:dyDescent="0.2">
      <c r="A300" s="3" t="s">
        <v>302</v>
      </c>
      <c r="B300" s="4">
        <v>88.2</v>
      </c>
      <c r="C300" s="5">
        <f t="shared" si="12"/>
        <v>117.60000000000001</v>
      </c>
      <c r="D300" s="16">
        <f t="shared" si="13"/>
        <v>176.4</v>
      </c>
      <c r="E300" s="18">
        <f t="shared" si="14"/>
        <v>76.998599999999996</v>
      </c>
    </row>
    <row r="301" spans="1:5" x14ac:dyDescent="0.2">
      <c r="A301" s="3" t="s">
        <v>303</v>
      </c>
      <c r="B301" s="4">
        <v>43.650000000000006</v>
      </c>
      <c r="C301" s="5">
        <f t="shared" si="12"/>
        <v>58.20000000000001</v>
      </c>
      <c r="D301" s="16">
        <f t="shared" si="13"/>
        <v>87.300000000000011</v>
      </c>
      <c r="E301" s="18">
        <f t="shared" si="14"/>
        <v>38.106450000000002</v>
      </c>
    </row>
    <row r="302" spans="1:5" x14ac:dyDescent="0.2">
      <c r="A302" s="3" t="s">
        <v>304</v>
      </c>
      <c r="B302" s="4">
        <v>44.7</v>
      </c>
      <c r="C302" s="5">
        <f t="shared" si="12"/>
        <v>59.6</v>
      </c>
      <c r="D302" s="16">
        <f t="shared" si="13"/>
        <v>89.4</v>
      </c>
      <c r="E302" s="18">
        <f t="shared" si="14"/>
        <v>39.023099999999999</v>
      </c>
    </row>
    <row r="303" spans="1:5" x14ac:dyDescent="0.2">
      <c r="A303" s="3" t="s">
        <v>305</v>
      </c>
      <c r="B303" s="4">
        <v>67.650000000000006</v>
      </c>
      <c r="C303" s="5">
        <f t="shared" si="12"/>
        <v>90.2</v>
      </c>
      <c r="D303" s="16">
        <f t="shared" si="13"/>
        <v>135.30000000000001</v>
      </c>
      <c r="E303" s="18">
        <f t="shared" si="14"/>
        <v>59.058450000000008</v>
      </c>
    </row>
    <row r="304" spans="1:5" x14ac:dyDescent="0.2">
      <c r="A304" s="3" t="s">
        <v>306</v>
      </c>
      <c r="B304" s="4">
        <v>83.7</v>
      </c>
      <c r="C304" s="5">
        <f t="shared" si="12"/>
        <v>111.60000000000001</v>
      </c>
      <c r="D304" s="16">
        <f t="shared" si="13"/>
        <v>167.4</v>
      </c>
      <c r="E304" s="18">
        <f t="shared" si="14"/>
        <v>73.070099999999996</v>
      </c>
    </row>
    <row r="305" spans="1:5" x14ac:dyDescent="0.2">
      <c r="A305" s="3" t="s">
        <v>307</v>
      </c>
      <c r="B305" s="4">
        <v>65.100000000000009</v>
      </c>
      <c r="C305" s="5">
        <f t="shared" si="12"/>
        <v>86.800000000000011</v>
      </c>
      <c r="D305" s="16">
        <f t="shared" si="13"/>
        <v>130.20000000000002</v>
      </c>
      <c r="E305" s="18">
        <f t="shared" si="14"/>
        <v>56.832300000000011</v>
      </c>
    </row>
    <row r="306" spans="1:5" x14ac:dyDescent="0.2">
      <c r="A306" s="3" t="s">
        <v>308</v>
      </c>
      <c r="B306" s="4">
        <v>87.75</v>
      </c>
      <c r="C306" s="5">
        <f t="shared" si="12"/>
        <v>117</v>
      </c>
      <c r="D306" s="16">
        <f t="shared" si="13"/>
        <v>175.5</v>
      </c>
      <c r="E306" s="18">
        <f t="shared" si="14"/>
        <v>76.60575</v>
      </c>
    </row>
    <row r="307" spans="1:5" x14ac:dyDescent="0.2">
      <c r="A307" s="3" t="s">
        <v>309</v>
      </c>
      <c r="B307" s="4">
        <v>107.69999999999999</v>
      </c>
      <c r="C307" s="5">
        <f t="shared" si="12"/>
        <v>143.6</v>
      </c>
      <c r="D307" s="16">
        <f t="shared" si="13"/>
        <v>215.39999999999998</v>
      </c>
      <c r="E307" s="18">
        <f t="shared" si="14"/>
        <v>94.022099999999995</v>
      </c>
    </row>
    <row r="308" spans="1:5" x14ac:dyDescent="0.2">
      <c r="A308" s="3" t="s">
        <v>310</v>
      </c>
      <c r="B308" s="4">
        <v>122.55000000000001</v>
      </c>
      <c r="C308" s="5">
        <f t="shared" si="12"/>
        <v>163.4</v>
      </c>
      <c r="D308" s="16">
        <f t="shared" si="13"/>
        <v>245.10000000000002</v>
      </c>
      <c r="E308" s="18">
        <f t="shared" si="14"/>
        <v>106.98615000000001</v>
      </c>
    </row>
    <row r="309" spans="1:5" x14ac:dyDescent="0.2">
      <c r="A309" s="3" t="s">
        <v>311</v>
      </c>
      <c r="B309" s="4">
        <v>136.20000000000002</v>
      </c>
      <c r="C309" s="5">
        <f t="shared" si="12"/>
        <v>181.60000000000002</v>
      </c>
      <c r="D309" s="16">
        <f t="shared" si="13"/>
        <v>272.40000000000003</v>
      </c>
      <c r="E309" s="18">
        <f t="shared" si="14"/>
        <v>118.90260000000002</v>
      </c>
    </row>
    <row r="310" spans="1:5" x14ac:dyDescent="0.2">
      <c r="A310" s="3" t="s">
        <v>312</v>
      </c>
      <c r="B310" s="4">
        <v>186.3</v>
      </c>
      <c r="C310" s="5">
        <f t="shared" si="12"/>
        <v>248.4</v>
      </c>
      <c r="D310" s="16">
        <f t="shared" si="13"/>
        <v>372.6</v>
      </c>
      <c r="E310" s="18">
        <f t="shared" si="14"/>
        <v>162.63990000000001</v>
      </c>
    </row>
    <row r="311" spans="1:5" x14ac:dyDescent="0.2">
      <c r="A311" s="3" t="s">
        <v>313</v>
      </c>
      <c r="B311" s="4">
        <v>86.850000000000009</v>
      </c>
      <c r="C311" s="5">
        <f t="shared" si="12"/>
        <v>115.80000000000001</v>
      </c>
      <c r="D311" s="16">
        <f t="shared" si="13"/>
        <v>173.70000000000002</v>
      </c>
      <c r="E311" s="18">
        <f t="shared" si="14"/>
        <v>75.820050000000009</v>
      </c>
    </row>
    <row r="312" spans="1:5" x14ac:dyDescent="0.2">
      <c r="A312" s="3" t="s">
        <v>314</v>
      </c>
      <c r="B312" s="4">
        <v>93.300000000000011</v>
      </c>
      <c r="C312" s="5">
        <f t="shared" si="12"/>
        <v>124.40000000000002</v>
      </c>
      <c r="D312" s="16">
        <f t="shared" si="13"/>
        <v>186.60000000000002</v>
      </c>
      <c r="E312" s="18">
        <f t="shared" si="14"/>
        <v>81.450900000000004</v>
      </c>
    </row>
    <row r="313" spans="1:5" x14ac:dyDescent="0.2">
      <c r="A313" s="3" t="s">
        <v>315</v>
      </c>
      <c r="B313" s="4">
        <v>112.19999999999999</v>
      </c>
      <c r="C313" s="5">
        <f t="shared" si="12"/>
        <v>149.6</v>
      </c>
      <c r="D313" s="16">
        <f t="shared" si="13"/>
        <v>224.39999999999998</v>
      </c>
      <c r="E313" s="18">
        <f t="shared" si="14"/>
        <v>97.950599999999994</v>
      </c>
    </row>
    <row r="314" spans="1:5" x14ac:dyDescent="0.2">
      <c r="A314" s="3" t="s">
        <v>316</v>
      </c>
      <c r="B314" s="4">
        <v>114</v>
      </c>
      <c r="C314" s="5">
        <f t="shared" si="12"/>
        <v>152</v>
      </c>
      <c r="D314" s="16">
        <f t="shared" si="13"/>
        <v>228</v>
      </c>
      <c r="E314" s="18">
        <f t="shared" si="14"/>
        <v>99.522000000000006</v>
      </c>
    </row>
    <row r="315" spans="1:5" x14ac:dyDescent="0.2">
      <c r="A315" s="3" t="s">
        <v>317</v>
      </c>
      <c r="B315" s="4">
        <v>115.95000000000002</v>
      </c>
      <c r="C315" s="5">
        <f t="shared" si="12"/>
        <v>154.60000000000002</v>
      </c>
      <c r="D315" s="16">
        <f t="shared" si="13"/>
        <v>231.90000000000003</v>
      </c>
      <c r="E315" s="18">
        <f t="shared" si="14"/>
        <v>101.22435000000002</v>
      </c>
    </row>
    <row r="316" spans="1:5" x14ac:dyDescent="0.2">
      <c r="A316" s="3" t="s">
        <v>318</v>
      </c>
      <c r="B316" s="4">
        <v>56.25</v>
      </c>
      <c r="C316" s="5">
        <f t="shared" si="12"/>
        <v>75</v>
      </c>
      <c r="D316" s="16">
        <f t="shared" si="13"/>
        <v>112.5</v>
      </c>
      <c r="E316" s="18">
        <f t="shared" si="14"/>
        <v>49.106250000000003</v>
      </c>
    </row>
    <row r="317" spans="1:5" x14ac:dyDescent="0.2">
      <c r="A317" s="3" t="s">
        <v>319</v>
      </c>
      <c r="B317" s="4">
        <v>57.150000000000006</v>
      </c>
      <c r="C317" s="5">
        <f t="shared" si="12"/>
        <v>76.2</v>
      </c>
      <c r="D317" s="16">
        <f t="shared" si="13"/>
        <v>114.30000000000001</v>
      </c>
      <c r="E317" s="18">
        <f t="shared" si="14"/>
        <v>49.891950000000001</v>
      </c>
    </row>
    <row r="318" spans="1:5" x14ac:dyDescent="0.2">
      <c r="A318" s="3" t="s">
        <v>320</v>
      </c>
      <c r="B318" s="4">
        <v>60</v>
      </c>
      <c r="C318" s="5">
        <f t="shared" si="12"/>
        <v>80</v>
      </c>
      <c r="D318" s="16">
        <f t="shared" si="13"/>
        <v>120</v>
      </c>
      <c r="E318" s="18">
        <f t="shared" si="14"/>
        <v>52.38</v>
      </c>
    </row>
    <row r="319" spans="1:5" x14ac:dyDescent="0.2">
      <c r="A319" s="3" t="s">
        <v>321</v>
      </c>
      <c r="B319" s="4">
        <v>62.25</v>
      </c>
      <c r="C319" s="5">
        <f t="shared" si="12"/>
        <v>83</v>
      </c>
      <c r="D319" s="16">
        <f t="shared" si="13"/>
        <v>124.5</v>
      </c>
      <c r="E319" s="18">
        <f t="shared" si="14"/>
        <v>54.344250000000002</v>
      </c>
    </row>
    <row r="320" spans="1:5" x14ac:dyDescent="0.2">
      <c r="A320" s="3" t="s">
        <v>322</v>
      </c>
      <c r="B320" s="4">
        <v>95.100000000000009</v>
      </c>
      <c r="C320" s="5">
        <f t="shared" si="12"/>
        <v>126.80000000000001</v>
      </c>
      <c r="D320" s="16">
        <f t="shared" si="13"/>
        <v>190.20000000000002</v>
      </c>
      <c r="E320" s="18">
        <f t="shared" si="14"/>
        <v>83.022300000000001</v>
      </c>
    </row>
    <row r="321" spans="1:5" x14ac:dyDescent="0.2">
      <c r="A321" s="3" t="s">
        <v>323</v>
      </c>
      <c r="B321" s="4">
        <v>101.10000000000001</v>
      </c>
      <c r="C321" s="5">
        <f t="shared" si="12"/>
        <v>134.80000000000001</v>
      </c>
      <c r="D321" s="16">
        <f t="shared" si="13"/>
        <v>202.20000000000002</v>
      </c>
      <c r="E321" s="18">
        <f t="shared" si="14"/>
        <v>88.260300000000001</v>
      </c>
    </row>
    <row r="322" spans="1:5" x14ac:dyDescent="0.2">
      <c r="A322" s="3" t="s">
        <v>324</v>
      </c>
      <c r="B322" s="4">
        <v>23.400000000000002</v>
      </c>
      <c r="C322" s="5">
        <f t="shared" si="12"/>
        <v>31.200000000000003</v>
      </c>
      <c r="D322" s="16">
        <f t="shared" si="13"/>
        <v>46.800000000000004</v>
      </c>
      <c r="E322" s="18">
        <f t="shared" si="14"/>
        <v>20.4282</v>
      </c>
    </row>
    <row r="323" spans="1:5" x14ac:dyDescent="0.2">
      <c r="A323" s="3" t="s">
        <v>325</v>
      </c>
      <c r="B323" s="4">
        <v>27.150000000000002</v>
      </c>
      <c r="C323" s="5">
        <f t="shared" ref="C323:C333" si="15">B323/0.75</f>
        <v>36.200000000000003</v>
      </c>
      <c r="D323" s="16">
        <f t="shared" ref="D323:D333" si="16">B323*2</f>
        <v>54.300000000000004</v>
      </c>
      <c r="E323" s="18">
        <f t="shared" ref="E323:E333" si="17">B323*0.873</f>
        <v>23.70195</v>
      </c>
    </row>
    <row r="324" spans="1:5" x14ac:dyDescent="0.2">
      <c r="A324" s="3" t="s">
        <v>326</v>
      </c>
      <c r="B324" s="4">
        <v>278.25</v>
      </c>
      <c r="C324" s="5">
        <f t="shared" si="15"/>
        <v>371</v>
      </c>
      <c r="D324" s="16">
        <f t="shared" si="16"/>
        <v>556.5</v>
      </c>
      <c r="E324" s="18">
        <f t="shared" si="17"/>
        <v>242.91225</v>
      </c>
    </row>
    <row r="325" spans="1:5" x14ac:dyDescent="0.2">
      <c r="A325" s="3" t="s">
        <v>327</v>
      </c>
      <c r="B325" s="4">
        <v>328.20000000000005</v>
      </c>
      <c r="C325" s="5">
        <f t="shared" si="15"/>
        <v>437.60000000000008</v>
      </c>
      <c r="D325" s="16">
        <f t="shared" si="16"/>
        <v>656.40000000000009</v>
      </c>
      <c r="E325" s="18">
        <f t="shared" si="17"/>
        <v>286.51860000000005</v>
      </c>
    </row>
    <row r="326" spans="1:5" x14ac:dyDescent="0.2">
      <c r="A326" s="3" t="s">
        <v>328</v>
      </c>
      <c r="B326" s="4">
        <v>328.20000000000005</v>
      </c>
      <c r="C326" s="5">
        <f t="shared" si="15"/>
        <v>437.60000000000008</v>
      </c>
      <c r="D326" s="16">
        <f t="shared" si="16"/>
        <v>656.40000000000009</v>
      </c>
      <c r="E326" s="18">
        <f t="shared" si="17"/>
        <v>286.51860000000005</v>
      </c>
    </row>
    <row r="327" spans="1:5" x14ac:dyDescent="0.2">
      <c r="A327" s="3" t="s">
        <v>329</v>
      </c>
      <c r="B327" s="4">
        <v>352.95000000000005</v>
      </c>
      <c r="C327" s="5">
        <f t="shared" si="15"/>
        <v>470.60000000000008</v>
      </c>
      <c r="D327" s="16">
        <f t="shared" si="16"/>
        <v>705.90000000000009</v>
      </c>
      <c r="E327" s="18">
        <f t="shared" si="17"/>
        <v>308.12535000000003</v>
      </c>
    </row>
    <row r="328" spans="1:5" x14ac:dyDescent="0.2">
      <c r="A328" s="3" t="s">
        <v>330</v>
      </c>
      <c r="B328" s="4">
        <v>352.95000000000005</v>
      </c>
      <c r="C328" s="5">
        <f t="shared" si="15"/>
        <v>470.60000000000008</v>
      </c>
      <c r="D328" s="16">
        <f t="shared" si="16"/>
        <v>705.90000000000009</v>
      </c>
      <c r="E328" s="18">
        <f t="shared" si="17"/>
        <v>308.12535000000003</v>
      </c>
    </row>
    <row r="329" spans="1:5" x14ac:dyDescent="0.2">
      <c r="A329" s="3" t="s">
        <v>331</v>
      </c>
      <c r="B329" s="4">
        <v>265.8</v>
      </c>
      <c r="C329" s="5">
        <f t="shared" si="15"/>
        <v>354.40000000000003</v>
      </c>
      <c r="D329" s="16">
        <f t="shared" si="16"/>
        <v>531.6</v>
      </c>
      <c r="E329" s="18">
        <f t="shared" si="17"/>
        <v>232.04340000000002</v>
      </c>
    </row>
    <row r="330" spans="1:5" x14ac:dyDescent="0.2">
      <c r="A330" s="3" t="s">
        <v>332</v>
      </c>
      <c r="B330" s="4">
        <v>336.45000000000005</v>
      </c>
      <c r="C330" s="5">
        <f t="shared" si="15"/>
        <v>448.60000000000008</v>
      </c>
      <c r="D330" s="16">
        <f t="shared" si="16"/>
        <v>672.90000000000009</v>
      </c>
      <c r="E330" s="18">
        <f t="shared" si="17"/>
        <v>293.72085000000004</v>
      </c>
    </row>
    <row r="331" spans="1:5" x14ac:dyDescent="0.2">
      <c r="A331" s="3" t="s">
        <v>333</v>
      </c>
      <c r="B331" s="4">
        <v>328.20000000000005</v>
      </c>
      <c r="C331" s="5">
        <f t="shared" si="15"/>
        <v>437.60000000000008</v>
      </c>
      <c r="D331" s="16">
        <f t="shared" si="16"/>
        <v>656.40000000000009</v>
      </c>
      <c r="E331" s="18">
        <f t="shared" si="17"/>
        <v>286.51860000000005</v>
      </c>
    </row>
    <row r="332" spans="1:5" x14ac:dyDescent="0.2">
      <c r="A332" s="3" t="s">
        <v>334</v>
      </c>
      <c r="B332" s="4">
        <v>328.20000000000005</v>
      </c>
      <c r="C332" s="5">
        <f t="shared" si="15"/>
        <v>437.60000000000008</v>
      </c>
      <c r="D332" s="16">
        <f t="shared" si="16"/>
        <v>656.40000000000009</v>
      </c>
      <c r="E332" s="18">
        <f t="shared" si="17"/>
        <v>286.51860000000005</v>
      </c>
    </row>
    <row r="333" spans="1:5" x14ac:dyDescent="0.2">
      <c r="A333" s="3" t="s">
        <v>335</v>
      </c>
      <c r="B333" s="4">
        <v>123.60000000000001</v>
      </c>
      <c r="C333" s="5">
        <f t="shared" si="15"/>
        <v>164.8</v>
      </c>
      <c r="D333" s="16">
        <f t="shared" si="16"/>
        <v>247.20000000000002</v>
      </c>
      <c r="E333" s="18">
        <f t="shared" si="17"/>
        <v>107.90280000000001</v>
      </c>
    </row>
    <row r="334" spans="1:5" x14ac:dyDescent="0.2">
      <c r="A334" s="10"/>
    </row>
    <row r="337" spans="1:2" x14ac:dyDescent="0.2">
      <c r="A337" s="12" t="s">
        <v>336</v>
      </c>
      <c r="B337" s="13"/>
    </row>
    <row r="338" spans="1:2" x14ac:dyDescent="0.2">
      <c r="A338" s="12" t="s">
        <v>337</v>
      </c>
      <c r="B338" s="13"/>
    </row>
    <row r="339" spans="1:2" x14ac:dyDescent="0.2">
      <c r="A339" s="12" t="s">
        <v>338</v>
      </c>
      <c r="B339" s="1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Gamco-January 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Dekirmendjian</dc:creator>
  <cp:lastModifiedBy>Shawn C. Olger</cp:lastModifiedBy>
  <dcterms:created xsi:type="dcterms:W3CDTF">2016-11-03T17:22:51Z</dcterms:created>
  <dcterms:modified xsi:type="dcterms:W3CDTF">2017-01-06T17:25:51Z</dcterms:modified>
</cp:coreProperties>
</file>