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d\CBC\VENDOR PRICE LIST\BOBRICK\"/>
    </mc:Choice>
  </mc:AlternateContent>
  <bookViews>
    <workbookView xWindow="240" yWindow="210" windowWidth="24435" windowHeight="11550"/>
  </bookViews>
  <sheets>
    <sheet name="Distributor Price List" sheetId="4" r:id="rId1"/>
    <sheet name="SpareParts" sheetId="2" r:id="rId2"/>
    <sheet name="Sheet3" sheetId="3" r:id="rId3"/>
  </sheets>
  <definedNames>
    <definedName name="_xlnm._FilterDatabase" localSheetId="0" hidden="1">'Distributor Price List'!$A$1:$E$430</definedName>
  </definedNames>
  <calcPr calcId="152511"/>
</workbook>
</file>

<file path=xl/calcChain.xml><?xml version="1.0" encoding="utf-8"?>
<calcChain xmlns="http://schemas.openxmlformats.org/spreadsheetml/2006/main">
  <c r="F407" i="4" l="1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06" i="4"/>
  <c r="F402" i="4"/>
  <c r="F403" i="4"/>
  <c r="F404" i="4"/>
  <c r="F401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354" i="4"/>
  <c r="F352" i="4"/>
  <c r="F351" i="4"/>
  <c r="F350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28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282" i="4"/>
  <c r="F276" i="4"/>
  <c r="F277" i="4"/>
  <c r="F278" i="4"/>
  <c r="F279" i="4"/>
  <c r="F280" i="4"/>
  <c r="F275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81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46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29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3" i="4"/>
  <c r="C331" i="4" l="1"/>
  <c r="D331" i="4"/>
  <c r="E331" i="4" s="1"/>
  <c r="C113" i="4" l="1"/>
  <c r="D113" i="4"/>
  <c r="E113" i="4"/>
  <c r="C390" i="4" l="1"/>
  <c r="D390" i="4"/>
  <c r="E390" i="4"/>
  <c r="C419" i="4"/>
  <c r="E330" i="4" l="1"/>
  <c r="C330" i="4"/>
  <c r="D330" i="4"/>
  <c r="C329" i="4"/>
  <c r="D329" i="4"/>
  <c r="C262" i="4"/>
  <c r="D262" i="4"/>
  <c r="E262" i="4"/>
  <c r="C260" i="4"/>
  <c r="D260" i="4"/>
  <c r="E260" i="4"/>
  <c r="C258" i="4"/>
  <c r="D258" i="4"/>
  <c r="E258" i="4"/>
  <c r="C256" i="4"/>
  <c r="D256" i="4"/>
  <c r="E256" i="4"/>
  <c r="C254" i="4"/>
  <c r="D254" i="4"/>
  <c r="E254" i="4"/>
  <c r="C252" i="4"/>
  <c r="D252" i="4"/>
  <c r="E252" i="4"/>
  <c r="C32" i="4"/>
  <c r="D32" i="4"/>
  <c r="E32" i="4"/>
  <c r="D328" i="4" l="1"/>
  <c r="C328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23" i="4"/>
  <c r="E24" i="4"/>
  <c r="E25" i="4"/>
  <c r="E26" i="4"/>
  <c r="E27" i="4"/>
  <c r="E29" i="4"/>
  <c r="E30" i="4"/>
  <c r="E31" i="4"/>
  <c r="E33" i="4"/>
  <c r="E34" i="4"/>
  <c r="E35" i="4"/>
  <c r="E36" i="4"/>
  <c r="E37" i="4"/>
  <c r="E38" i="4"/>
  <c r="E39" i="4"/>
  <c r="E40" i="4"/>
  <c r="E41" i="4"/>
  <c r="E42" i="4"/>
  <c r="E43" i="4"/>
  <c r="E44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3" i="4"/>
  <c r="E255" i="4"/>
  <c r="E257" i="4"/>
  <c r="E259" i="4"/>
  <c r="E261" i="4"/>
  <c r="E263" i="4"/>
  <c r="E264" i="4"/>
  <c r="E265" i="4"/>
  <c r="E266" i="4"/>
  <c r="E267" i="4"/>
  <c r="E268" i="4"/>
  <c r="E269" i="4"/>
  <c r="E270" i="4"/>
  <c r="E271" i="4"/>
  <c r="E272" i="4"/>
  <c r="E273" i="4"/>
  <c r="E275" i="4"/>
  <c r="E276" i="4"/>
  <c r="E277" i="4"/>
  <c r="E278" i="4"/>
  <c r="E279" i="4"/>
  <c r="E280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50" i="4"/>
  <c r="E351" i="4"/>
  <c r="E352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1" i="4"/>
  <c r="E392" i="4"/>
  <c r="E393" i="4"/>
  <c r="E394" i="4"/>
  <c r="E395" i="4"/>
  <c r="E396" i="4"/>
  <c r="E397" i="4"/>
  <c r="E398" i="4"/>
  <c r="E399" i="4"/>
  <c r="E401" i="4"/>
  <c r="E402" i="4"/>
  <c r="E403" i="4"/>
  <c r="E404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3" i="4"/>
  <c r="D429" i="4"/>
  <c r="C426" i="4"/>
  <c r="D425" i="4"/>
  <c r="C422" i="4"/>
  <c r="D421" i="4"/>
  <c r="C418" i="4"/>
  <c r="D413" i="4"/>
  <c r="D409" i="4"/>
  <c r="D404" i="4"/>
  <c r="C377" i="4"/>
  <c r="D376" i="4"/>
  <c r="C373" i="4"/>
  <c r="D372" i="4"/>
  <c r="C369" i="4"/>
  <c r="D368" i="4"/>
  <c r="C365" i="4"/>
  <c r="D364" i="4"/>
  <c r="C361" i="4"/>
  <c r="D360" i="4"/>
  <c r="C357" i="4"/>
  <c r="D356" i="4"/>
  <c r="D352" i="4"/>
  <c r="C348" i="4"/>
  <c r="D347" i="4"/>
  <c r="D344" i="4"/>
  <c r="C343" i="4"/>
  <c r="D339" i="4"/>
  <c r="C332" i="4"/>
  <c r="D322" i="4"/>
  <c r="D318" i="4"/>
  <c r="D314" i="4"/>
  <c r="D310" i="4"/>
  <c r="D306" i="4"/>
  <c r="D302" i="4"/>
  <c r="D298" i="4"/>
  <c r="D294" i="4"/>
  <c r="C286" i="4"/>
  <c r="C278" i="4"/>
  <c r="C266" i="4"/>
  <c r="D261" i="4"/>
  <c r="C249" i="4"/>
  <c r="D246" i="4"/>
  <c r="C245" i="4"/>
  <c r="C239" i="4"/>
  <c r="D238" i="4"/>
  <c r="C235" i="4"/>
  <c r="D234" i="4"/>
  <c r="C231" i="4"/>
  <c r="D230" i="4"/>
  <c r="C227" i="4"/>
  <c r="D226" i="4"/>
  <c r="C223" i="4"/>
  <c r="D222" i="4"/>
  <c r="C219" i="4"/>
  <c r="D218" i="4"/>
  <c r="C215" i="4"/>
  <c r="D214" i="4"/>
  <c r="D206" i="4"/>
  <c r="D205" i="4"/>
  <c r="C199" i="4"/>
  <c r="D195" i="4"/>
  <c r="C194" i="4"/>
  <c r="D190" i="4"/>
  <c r="D189" i="4"/>
  <c r="C184" i="4"/>
  <c r="D180" i="4"/>
  <c r="C179" i="4"/>
  <c r="D175" i="4"/>
  <c r="C173" i="4"/>
  <c r="C169" i="4"/>
  <c r="C161" i="4"/>
  <c r="C157" i="4"/>
  <c r="C153" i="4"/>
  <c r="C145" i="4"/>
  <c r="C137" i="4"/>
  <c r="C133" i="4"/>
  <c r="C125" i="4"/>
  <c r="C121" i="4"/>
  <c r="C119" i="4"/>
  <c r="C117" i="4"/>
  <c r="D116" i="4"/>
  <c r="C116" i="4"/>
  <c r="C110" i="4"/>
  <c r="D107" i="4"/>
  <c r="C107" i="4"/>
  <c r="C102" i="4"/>
  <c r="D101" i="4"/>
  <c r="C86" i="4"/>
  <c r="D85" i="4"/>
  <c r="C55" i="4"/>
  <c r="D54" i="4"/>
  <c r="C51" i="4"/>
  <c r="D50" i="4"/>
  <c r="C47" i="4"/>
  <c r="D46" i="4"/>
  <c r="C42" i="4"/>
  <c r="D41" i="4"/>
  <c r="C38" i="4"/>
  <c r="D37" i="4"/>
  <c r="D35" i="4"/>
  <c r="C33" i="4"/>
  <c r="D31" i="4"/>
  <c r="C27" i="4"/>
  <c r="D26" i="4"/>
  <c r="C23" i="4"/>
  <c r="D22" i="4"/>
  <c r="C19" i="4"/>
  <c r="D18" i="4"/>
  <c r="C15" i="4"/>
  <c r="D14" i="4"/>
  <c r="C11" i="4"/>
  <c r="D10" i="4"/>
  <c r="C7" i="4"/>
  <c r="D6" i="4"/>
  <c r="C3" i="4"/>
  <c r="D8" i="4" l="1"/>
  <c r="C8" i="4"/>
  <c r="D24" i="4"/>
  <c r="C24" i="4"/>
  <c r="D39" i="4"/>
  <c r="C39" i="4"/>
  <c r="D48" i="4"/>
  <c r="C48" i="4"/>
  <c r="D34" i="4"/>
  <c r="C34" i="4"/>
  <c r="D4" i="4"/>
  <c r="C4" i="4"/>
  <c r="D12" i="4"/>
  <c r="C12" i="4"/>
  <c r="D20" i="4"/>
  <c r="C20" i="4"/>
  <c r="D29" i="4"/>
  <c r="C29" i="4"/>
  <c r="D16" i="4"/>
  <c r="C16" i="4"/>
  <c r="D43" i="4"/>
  <c r="C43" i="4"/>
  <c r="D52" i="4"/>
  <c r="C52" i="4"/>
  <c r="D60" i="4"/>
  <c r="C60" i="4"/>
  <c r="C75" i="4"/>
  <c r="D75" i="4"/>
  <c r="D95" i="4"/>
  <c r="C95" i="4"/>
  <c r="D56" i="4"/>
  <c r="C56" i="4"/>
  <c r="D57" i="4"/>
  <c r="C57" i="4"/>
  <c r="D63" i="4"/>
  <c r="C63" i="4"/>
  <c r="C70" i="4"/>
  <c r="D70" i="4"/>
  <c r="C77" i="4"/>
  <c r="D77" i="4"/>
  <c r="C82" i="4"/>
  <c r="D82" i="4"/>
  <c r="C87" i="4"/>
  <c r="D87" i="4"/>
  <c r="C94" i="4"/>
  <c r="D94" i="4"/>
  <c r="C98" i="4"/>
  <c r="D98" i="4"/>
  <c r="C103" i="4"/>
  <c r="D103" i="4"/>
  <c r="D118" i="4"/>
  <c r="C118" i="4"/>
  <c r="C58" i="4"/>
  <c r="D58" i="4"/>
  <c r="C67" i="4"/>
  <c r="D67" i="4"/>
  <c r="D78" i="4"/>
  <c r="C78" i="4"/>
  <c r="D92" i="4"/>
  <c r="C92" i="4"/>
  <c r="D109" i="4"/>
  <c r="C109" i="4"/>
  <c r="D112" i="4"/>
  <c r="C112" i="4"/>
  <c r="D3" i="4"/>
  <c r="D7" i="4"/>
  <c r="D11" i="4"/>
  <c r="D15" i="4"/>
  <c r="D19" i="4"/>
  <c r="D23" i="4"/>
  <c r="D27" i="4"/>
  <c r="D33" i="4"/>
  <c r="C35" i="4"/>
  <c r="D38" i="4"/>
  <c r="D42" i="4"/>
  <c r="D47" i="4"/>
  <c r="D51" i="4"/>
  <c r="D55" i="4"/>
  <c r="D59" i="4"/>
  <c r="C59" i="4"/>
  <c r="C66" i="4"/>
  <c r="D66" i="4"/>
  <c r="D68" i="4"/>
  <c r="C68" i="4"/>
  <c r="D69" i="4"/>
  <c r="C69" i="4"/>
  <c r="D72" i="4"/>
  <c r="C72" i="4"/>
  <c r="C73" i="4"/>
  <c r="D73" i="4"/>
  <c r="D76" i="4"/>
  <c r="C76" i="4"/>
  <c r="D81" i="4"/>
  <c r="C81" i="4"/>
  <c r="D84" i="4"/>
  <c r="C84" i="4"/>
  <c r="D89" i="4"/>
  <c r="C89" i="4"/>
  <c r="C90" i="4"/>
  <c r="D90" i="4"/>
  <c r="D93" i="4"/>
  <c r="C93" i="4"/>
  <c r="D97" i="4"/>
  <c r="C97" i="4"/>
  <c r="D100" i="4"/>
  <c r="C100" i="4"/>
  <c r="D105" i="4"/>
  <c r="C105" i="4"/>
  <c r="C106" i="4"/>
  <c r="D106" i="4"/>
  <c r="D111" i="4"/>
  <c r="C111" i="4"/>
  <c r="D61" i="4"/>
  <c r="C61" i="4"/>
  <c r="D5" i="4"/>
  <c r="C5" i="4"/>
  <c r="C6" i="4"/>
  <c r="D9" i="4"/>
  <c r="C9" i="4"/>
  <c r="C10" i="4"/>
  <c r="D13" i="4"/>
  <c r="C13" i="4"/>
  <c r="C14" i="4"/>
  <c r="D17" i="4"/>
  <c r="C17" i="4"/>
  <c r="C18" i="4"/>
  <c r="D21" i="4"/>
  <c r="C21" i="4"/>
  <c r="C22" i="4"/>
  <c r="D25" i="4"/>
  <c r="C25" i="4"/>
  <c r="C26" i="4"/>
  <c r="D30" i="4"/>
  <c r="C30" i="4"/>
  <c r="C31" i="4"/>
  <c r="D36" i="4"/>
  <c r="C36" i="4"/>
  <c r="C37" i="4"/>
  <c r="D40" i="4"/>
  <c r="C40" i="4"/>
  <c r="C41" i="4"/>
  <c r="D44" i="4"/>
  <c r="C44" i="4"/>
  <c r="C46" i="4"/>
  <c r="D49" i="4"/>
  <c r="C49" i="4"/>
  <c r="C50" i="4"/>
  <c r="D53" i="4"/>
  <c r="C53" i="4"/>
  <c r="C54" i="4"/>
  <c r="C62" i="4"/>
  <c r="D62" i="4"/>
  <c r="D64" i="4"/>
  <c r="C64" i="4"/>
  <c r="D65" i="4"/>
  <c r="C65" i="4"/>
  <c r="C71" i="4"/>
  <c r="D71" i="4"/>
  <c r="C83" i="4"/>
  <c r="D83" i="4"/>
  <c r="C88" i="4"/>
  <c r="D88" i="4"/>
  <c r="C99" i="4"/>
  <c r="D99" i="4"/>
  <c r="C104" i="4"/>
  <c r="D104" i="4"/>
  <c r="C115" i="4"/>
  <c r="D115" i="4"/>
  <c r="C120" i="4"/>
  <c r="D120" i="4"/>
  <c r="D108" i="4"/>
  <c r="D122" i="4"/>
  <c r="C122" i="4"/>
  <c r="D129" i="4"/>
  <c r="D141" i="4"/>
  <c r="D149" i="4"/>
  <c r="D150" i="4"/>
  <c r="C150" i="4"/>
  <c r="D154" i="4"/>
  <c r="C154" i="4"/>
  <c r="D165" i="4"/>
  <c r="C174" i="4"/>
  <c r="D188" i="4"/>
  <c r="D204" i="4"/>
  <c r="D224" i="4"/>
  <c r="C224" i="4"/>
  <c r="C259" i="4"/>
  <c r="D259" i="4"/>
  <c r="D341" i="4"/>
  <c r="C341" i="4"/>
  <c r="D350" i="4"/>
  <c r="C350" i="4"/>
  <c r="D358" i="4"/>
  <c r="C358" i="4"/>
  <c r="D366" i="4"/>
  <c r="C366" i="4"/>
  <c r="D374" i="4"/>
  <c r="C374" i="4"/>
  <c r="D379" i="4"/>
  <c r="C379" i="4"/>
  <c r="C74" i="4"/>
  <c r="C79" i="4"/>
  <c r="C85" i="4"/>
  <c r="D86" i="4"/>
  <c r="C91" i="4"/>
  <c r="C96" i="4"/>
  <c r="C101" i="4"/>
  <c r="D102" i="4"/>
  <c r="C108" i="4"/>
  <c r="D110" i="4"/>
  <c r="D119" i="4"/>
  <c r="D123" i="4"/>
  <c r="C123" i="4"/>
  <c r="C124" i="4"/>
  <c r="D127" i="4"/>
  <c r="C127" i="4"/>
  <c r="C128" i="4"/>
  <c r="C129" i="4"/>
  <c r="D131" i="4"/>
  <c r="C131" i="4"/>
  <c r="C132" i="4"/>
  <c r="D135" i="4"/>
  <c r="C135" i="4"/>
  <c r="C136" i="4"/>
  <c r="D139" i="4"/>
  <c r="C139" i="4"/>
  <c r="C140" i="4"/>
  <c r="C141" i="4"/>
  <c r="D143" i="4"/>
  <c r="C143" i="4"/>
  <c r="C144" i="4"/>
  <c r="D147" i="4"/>
  <c r="C147" i="4"/>
  <c r="C148" i="4"/>
  <c r="C149" i="4"/>
  <c r="D151" i="4"/>
  <c r="C151" i="4"/>
  <c r="C152" i="4"/>
  <c r="D155" i="4"/>
  <c r="C155" i="4"/>
  <c r="C156" i="4"/>
  <c r="D159" i="4"/>
  <c r="C159" i="4"/>
  <c r="C160" i="4"/>
  <c r="D163" i="4"/>
  <c r="C163" i="4"/>
  <c r="C164" i="4"/>
  <c r="C165" i="4"/>
  <c r="D167" i="4"/>
  <c r="C167" i="4"/>
  <c r="C168" i="4"/>
  <c r="D171" i="4"/>
  <c r="C171" i="4"/>
  <c r="D174" i="4"/>
  <c r="C178" i="4"/>
  <c r="D178" i="4"/>
  <c r="D185" i="4"/>
  <c r="C185" i="4"/>
  <c r="C186" i="4"/>
  <c r="D186" i="4"/>
  <c r="C188" i="4"/>
  <c r="C193" i="4"/>
  <c r="D193" i="4"/>
  <c r="D200" i="4"/>
  <c r="C200" i="4"/>
  <c r="C201" i="4"/>
  <c r="D201" i="4"/>
  <c r="D202" i="4"/>
  <c r="C202" i="4"/>
  <c r="C204" i="4"/>
  <c r="D208" i="4"/>
  <c r="C208" i="4"/>
  <c r="D243" i="4"/>
  <c r="C243" i="4"/>
  <c r="D257" i="4"/>
  <c r="C257" i="4"/>
  <c r="D270" i="4"/>
  <c r="C270" i="4"/>
  <c r="D282" i="4"/>
  <c r="C282" i="4"/>
  <c r="D308" i="4"/>
  <c r="C308" i="4"/>
  <c r="D324" i="4"/>
  <c r="C324" i="4"/>
  <c r="D114" i="4"/>
  <c r="C114" i="4"/>
  <c r="D117" i="4"/>
  <c r="D125" i="4"/>
  <c r="D130" i="4"/>
  <c r="C130" i="4"/>
  <c r="D137" i="4"/>
  <c r="D145" i="4"/>
  <c r="D153" i="4"/>
  <c r="D161" i="4"/>
  <c r="D169" i="4"/>
  <c r="D173" i="4"/>
  <c r="D177" i="4"/>
  <c r="C177" i="4"/>
  <c r="D183" i="4"/>
  <c r="C183" i="4"/>
  <c r="C189" i="4"/>
  <c r="D192" i="4"/>
  <c r="C192" i="4"/>
  <c r="D198" i="4"/>
  <c r="C198" i="4"/>
  <c r="C205" i="4"/>
  <c r="D210" i="4"/>
  <c r="C210" i="4"/>
  <c r="D216" i="4"/>
  <c r="C216" i="4"/>
  <c r="D232" i="4"/>
  <c r="C232" i="4"/>
  <c r="D240" i="4"/>
  <c r="C240" i="4"/>
  <c r="D248" i="4"/>
  <c r="C248" i="4"/>
  <c r="D74" i="4"/>
  <c r="D79" i="4"/>
  <c r="D91" i="4"/>
  <c r="D96" i="4"/>
  <c r="D124" i="4"/>
  <c r="D128" i="4"/>
  <c r="D132" i="4"/>
  <c r="D136" i="4"/>
  <c r="D140" i="4"/>
  <c r="D144" i="4"/>
  <c r="D148" i="4"/>
  <c r="D152" i="4"/>
  <c r="D156" i="4"/>
  <c r="D160" i="4"/>
  <c r="D164" i="4"/>
  <c r="D168" i="4"/>
  <c r="D172" i="4"/>
  <c r="C172" i="4"/>
  <c r="C180" i="4"/>
  <c r="D181" i="4"/>
  <c r="C181" i="4"/>
  <c r="D184" i="4"/>
  <c r="D187" i="4"/>
  <c r="C187" i="4"/>
  <c r="C195" i="4"/>
  <c r="D196" i="4"/>
  <c r="C196" i="4"/>
  <c r="D199" i="4"/>
  <c r="D203" i="4"/>
  <c r="C203" i="4"/>
  <c r="C209" i="4"/>
  <c r="D209" i="4"/>
  <c r="D211" i="4"/>
  <c r="C211" i="4"/>
  <c r="C213" i="4"/>
  <c r="D213" i="4"/>
  <c r="D220" i="4"/>
  <c r="C220" i="4"/>
  <c r="D228" i="4"/>
  <c r="C228" i="4"/>
  <c r="D236" i="4"/>
  <c r="C236" i="4"/>
  <c r="D277" i="4"/>
  <c r="C277" i="4"/>
  <c r="D121" i="4"/>
  <c r="D126" i="4"/>
  <c r="C126" i="4"/>
  <c r="D133" i="4"/>
  <c r="D134" i="4"/>
  <c r="C134" i="4"/>
  <c r="D138" i="4"/>
  <c r="C138" i="4"/>
  <c r="D142" i="4"/>
  <c r="C142" i="4"/>
  <c r="D146" i="4"/>
  <c r="C146" i="4"/>
  <c r="D157" i="4"/>
  <c r="D158" i="4"/>
  <c r="C158" i="4"/>
  <c r="D162" i="4"/>
  <c r="C162" i="4"/>
  <c r="D166" i="4"/>
  <c r="C166" i="4"/>
  <c r="D170" i="4"/>
  <c r="C170" i="4"/>
  <c r="C175" i="4"/>
  <c r="D176" i="4"/>
  <c r="C176" i="4"/>
  <c r="D179" i="4"/>
  <c r="C182" i="4"/>
  <c r="D182" i="4"/>
  <c r="C190" i="4"/>
  <c r="D191" i="4"/>
  <c r="C191" i="4"/>
  <c r="D194" i="4"/>
  <c r="C197" i="4"/>
  <c r="D197" i="4"/>
  <c r="C206" i="4"/>
  <c r="D207" i="4"/>
  <c r="C207" i="4"/>
  <c r="D212" i="4"/>
  <c r="C212" i="4"/>
  <c r="D264" i="4"/>
  <c r="C264" i="4"/>
  <c r="D288" i="4"/>
  <c r="C288" i="4"/>
  <c r="C244" i="4"/>
  <c r="D244" i="4"/>
  <c r="D250" i="4"/>
  <c r="C250" i="4"/>
  <c r="C251" i="4"/>
  <c r="D251" i="4"/>
  <c r="D253" i="4"/>
  <c r="C253" i="4"/>
  <c r="C265" i="4"/>
  <c r="D265" i="4"/>
  <c r="D272" i="4"/>
  <c r="C272" i="4"/>
  <c r="C273" i="4"/>
  <c r="D273" i="4"/>
  <c r="D275" i="4"/>
  <c r="C275" i="4"/>
  <c r="D280" i="4"/>
  <c r="C280" i="4"/>
  <c r="C289" i="4"/>
  <c r="D289" i="4"/>
  <c r="D291" i="4"/>
  <c r="C291" i="4"/>
  <c r="D293" i="4"/>
  <c r="C293" i="4"/>
  <c r="D296" i="4"/>
  <c r="C296" i="4"/>
  <c r="D312" i="4"/>
  <c r="C312" i="4"/>
  <c r="C338" i="4"/>
  <c r="D338" i="4"/>
  <c r="D215" i="4"/>
  <c r="D219" i="4"/>
  <c r="D223" i="4"/>
  <c r="D227" i="4"/>
  <c r="D231" i="4"/>
  <c r="D235" i="4"/>
  <c r="D239" i="4"/>
  <c r="C246" i="4"/>
  <c r="D247" i="4"/>
  <c r="C247" i="4"/>
  <c r="D249" i="4"/>
  <c r="D255" i="4"/>
  <c r="C255" i="4"/>
  <c r="C267" i="4"/>
  <c r="D268" i="4"/>
  <c r="C268" i="4"/>
  <c r="D271" i="4"/>
  <c r="D283" i="4"/>
  <c r="C283" i="4"/>
  <c r="C285" i="4"/>
  <c r="D285" i="4"/>
  <c r="D287" i="4"/>
  <c r="C287" i="4"/>
  <c r="D292" i="4"/>
  <c r="C292" i="4"/>
  <c r="D300" i="4"/>
  <c r="C300" i="4"/>
  <c r="D316" i="4"/>
  <c r="C316" i="4"/>
  <c r="D337" i="4"/>
  <c r="C337" i="4"/>
  <c r="C214" i="4"/>
  <c r="D217" i="4"/>
  <c r="C217" i="4"/>
  <c r="C218" i="4"/>
  <c r="D221" i="4"/>
  <c r="C221" i="4"/>
  <c r="C222" i="4"/>
  <c r="D225" i="4"/>
  <c r="C225" i="4"/>
  <c r="C226" i="4"/>
  <c r="D229" i="4"/>
  <c r="C229" i="4"/>
  <c r="C230" i="4"/>
  <c r="D233" i="4"/>
  <c r="C233" i="4"/>
  <c r="C234" i="4"/>
  <c r="D237" i="4"/>
  <c r="C237" i="4"/>
  <c r="C238" i="4"/>
  <c r="D241" i="4"/>
  <c r="C241" i="4"/>
  <c r="D242" i="4"/>
  <c r="C242" i="4"/>
  <c r="D245" i="4"/>
  <c r="C261" i="4"/>
  <c r="D263" i="4"/>
  <c r="C263" i="4"/>
  <c r="D266" i="4"/>
  <c r="D267" i="4"/>
  <c r="C269" i="4"/>
  <c r="D269" i="4"/>
  <c r="C271" i="4"/>
  <c r="D276" i="4"/>
  <c r="C276" i="4"/>
  <c r="D279" i="4"/>
  <c r="C279" i="4"/>
  <c r="D284" i="4"/>
  <c r="C284" i="4"/>
  <c r="D290" i="4"/>
  <c r="C290" i="4"/>
  <c r="D304" i="4"/>
  <c r="C304" i="4"/>
  <c r="D320" i="4"/>
  <c r="C320" i="4"/>
  <c r="D278" i="4"/>
  <c r="D286" i="4"/>
  <c r="D295" i="4"/>
  <c r="D299" i="4"/>
  <c r="D303" i="4"/>
  <c r="D307" i="4"/>
  <c r="D311" i="4"/>
  <c r="D315" i="4"/>
  <c r="D319" i="4"/>
  <c r="D323" i="4"/>
  <c r="D333" i="4"/>
  <c r="C333" i="4"/>
  <c r="C334" i="4"/>
  <c r="D334" i="4"/>
  <c r="D335" i="4"/>
  <c r="C335" i="4"/>
  <c r="C342" i="4"/>
  <c r="D342" i="4"/>
  <c r="C294" i="4"/>
  <c r="C295" i="4"/>
  <c r="D297" i="4"/>
  <c r="C297" i="4"/>
  <c r="C298" i="4"/>
  <c r="C299" i="4"/>
  <c r="D301" i="4"/>
  <c r="C301" i="4"/>
  <c r="C302" i="4"/>
  <c r="C303" i="4"/>
  <c r="D305" i="4"/>
  <c r="C305" i="4"/>
  <c r="C306" i="4"/>
  <c r="C307" i="4"/>
  <c r="D309" i="4"/>
  <c r="C309" i="4"/>
  <c r="C310" i="4"/>
  <c r="C311" i="4"/>
  <c r="D313" i="4"/>
  <c r="C313" i="4"/>
  <c r="C314" i="4"/>
  <c r="C315" i="4"/>
  <c r="D317" i="4"/>
  <c r="C317" i="4"/>
  <c r="C318" i="4"/>
  <c r="C319" i="4"/>
  <c r="D321" i="4"/>
  <c r="C321" i="4"/>
  <c r="C322" i="4"/>
  <c r="C323" i="4"/>
  <c r="D325" i="4"/>
  <c r="C325" i="4"/>
  <c r="D326" i="4"/>
  <c r="C326" i="4"/>
  <c r="D332" i="4"/>
  <c r="D336" i="4"/>
  <c r="C336" i="4"/>
  <c r="C344" i="4"/>
  <c r="D345" i="4"/>
  <c r="C345" i="4"/>
  <c r="D354" i="4"/>
  <c r="C354" i="4"/>
  <c r="D362" i="4"/>
  <c r="C362" i="4"/>
  <c r="D370" i="4"/>
  <c r="C370" i="4"/>
  <c r="D378" i="4"/>
  <c r="C378" i="4"/>
  <c r="C339" i="4"/>
  <c r="D340" i="4"/>
  <c r="C340" i="4"/>
  <c r="D343" i="4"/>
  <c r="D383" i="4"/>
  <c r="C383" i="4"/>
  <c r="D387" i="4"/>
  <c r="C387" i="4"/>
  <c r="D392" i="4"/>
  <c r="C392" i="4"/>
  <c r="D396" i="4"/>
  <c r="C396" i="4"/>
  <c r="D401" i="4"/>
  <c r="C401" i="4"/>
  <c r="D407" i="4"/>
  <c r="C407" i="4"/>
  <c r="D415" i="4"/>
  <c r="C415" i="4"/>
  <c r="D406" i="4"/>
  <c r="C406" i="4"/>
  <c r="D414" i="4"/>
  <c r="C414" i="4"/>
  <c r="D348" i="4"/>
  <c r="D357" i="4"/>
  <c r="D361" i="4"/>
  <c r="D365" i="4"/>
  <c r="D369" i="4"/>
  <c r="D373" i="4"/>
  <c r="D377" i="4"/>
  <c r="D384" i="4"/>
  <c r="C384" i="4"/>
  <c r="D411" i="4"/>
  <c r="C411" i="4"/>
  <c r="C417" i="4"/>
  <c r="D417" i="4"/>
  <c r="D346" i="4"/>
  <c r="C346" i="4"/>
  <c r="C347" i="4"/>
  <c r="D351" i="4"/>
  <c r="C351" i="4"/>
  <c r="C352" i="4"/>
  <c r="D355" i="4"/>
  <c r="C355" i="4"/>
  <c r="C356" i="4"/>
  <c r="D359" i="4"/>
  <c r="C359" i="4"/>
  <c r="C360" i="4"/>
  <c r="D363" i="4"/>
  <c r="C363" i="4"/>
  <c r="C364" i="4"/>
  <c r="D367" i="4"/>
  <c r="C367" i="4"/>
  <c r="C368" i="4"/>
  <c r="D371" i="4"/>
  <c r="C371" i="4"/>
  <c r="C372" i="4"/>
  <c r="D375" i="4"/>
  <c r="C375" i="4"/>
  <c r="C376" i="4"/>
  <c r="D380" i="4"/>
  <c r="C380" i="4"/>
  <c r="C381" i="4"/>
  <c r="D381" i="4"/>
  <c r="D382" i="4"/>
  <c r="C382" i="4"/>
  <c r="D388" i="4"/>
  <c r="C388" i="4"/>
  <c r="D393" i="4"/>
  <c r="C393" i="4"/>
  <c r="D397" i="4"/>
  <c r="C397" i="4"/>
  <c r="D402" i="4"/>
  <c r="C402" i="4"/>
  <c r="D410" i="4"/>
  <c r="C410" i="4"/>
  <c r="D416" i="4"/>
  <c r="C416" i="4"/>
  <c r="D385" i="4"/>
  <c r="C385" i="4"/>
  <c r="C386" i="4"/>
  <c r="D389" i="4"/>
  <c r="C389" i="4"/>
  <c r="C391" i="4"/>
  <c r="D394" i="4"/>
  <c r="C394" i="4"/>
  <c r="C395" i="4"/>
  <c r="D398" i="4"/>
  <c r="C398" i="4"/>
  <c r="C399" i="4"/>
  <c r="D403" i="4"/>
  <c r="C403" i="4"/>
  <c r="C404" i="4"/>
  <c r="D408" i="4"/>
  <c r="C408" i="4"/>
  <c r="C409" i="4"/>
  <c r="D412" i="4"/>
  <c r="C412" i="4"/>
  <c r="C413" i="4"/>
  <c r="D386" i="4"/>
  <c r="D391" i="4"/>
  <c r="D395" i="4"/>
  <c r="D399" i="4"/>
  <c r="D422" i="4"/>
  <c r="D426" i="4"/>
  <c r="D430" i="4"/>
  <c r="D418" i="4"/>
  <c r="D419" i="4"/>
  <c r="D420" i="4"/>
  <c r="C420" i="4"/>
  <c r="C421" i="4"/>
  <c r="D423" i="4"/>
  <c r="C423" i="4"/>
  <c r="D424" i="4"/>
  <c r="C424" i="4"/>
  <c r="C425" i="4"/>
  <c r="D427" i="4"/>
  <c r="C427" i="4"/>
  <c r="D428" i="4"/>
  <c r="C428" i="4"/>
  <c r="C429" i="4"/>
  <c r="C430" i="4"/>
</calcChain>
</file>

<file path=xl/sharedStrings.xml><?xml version="1.0" encoding="utf-8"?>
<sst xmlns="http://schemas.openxmlformats.org/spreadsheetml/2006/main" count="951" uniqueCount="886">
  <si>
    <t>MODEL NUMBER</t>
  </si>
  <si>
    <t>155</t>
  </si>
  <si>
    <t>156</t>
  </si>
  <si>
    <t>2111</t>
  </si>
  <si>
    <t>2111-79</t>
  </si>
  <si>
    <t>2112</t>
  </si>
  <si>
    <t>306</t>
  </si>
  <si>
    <t>40</t>
  </si>
  <si>
    <t>4063</t>
  </si>
  <si>
    <t>4112</t>
  </si>
  <si>
    <t>4112-79</t>
  </si>
  <si>
    <t>42</t>
  </si>
  <si>
    <t>5050</t>
  </si>
  <si>
    <t>822</t>
  </si>
  <si>
    <t>8221</t>
  </si>
  <si>
    <t>82216</t>
  </si>
  <si>
    <t>8226</t>
  </si>
  <si>
    <t>826</t>
  </si>
  <si>
    <t>826.18</t>
  </si>
  <si>
    <t>826-20</t>
  </si>
  <si>
    <t>8263</t>
  </si>
  <si>
    <t>8263.18</t>
  </si>
  <si>
    <t>81212</t>
  </si>
  <si>
    <t>81312</t>
  </si>
  <si>
    <t>830</t>
  </si>
  <si>
    <t>830.12</t>
  </si>
  <si>
    <t>830.13</t>
  </si>
  <si>
    <t>830-162</t>
  </si>
  <si>
    <t>830-164</t>
  </si>
  <si>
    <t>830-341</t>
  </si>
  <si>
    <t>830-359</t>
  </si>
  <si>
    <t>830-372</t>
  </si>
  <si>
    <t>822-402</t>
  </si>
  <si>
    <t>824</t>
  </si>
  <si>
    <t>828</t>
  </si>
  <si>
    <t>1556 1824</t>
  </si>
  <si>
    <t>1556 1830</t>
  </si>
  <si>
    <t>1556 2436</t>
  </si>
  <si>
    <t>165 1824</t>
  </si>
  <si>
    <t>165 1830</t>
  </si>
  <si>
    <t>165 1836</t>
  </si>
  <si>
    <t>165 2430</t>
  </si>
  <si>
    <t>165 2436</t>
  </si>
  <si>
    <t>165 2448</t>
  </si>
  <si>
    <t>165 2460</t>
  </si>
  <si>
    <t>165 4836</t>
  </si>
  <si>
    <t>166 1824</t>
  </si>
  <si>
    <t>166 1830</t>
  </si>
  <si>
    <t>166 1836</t>
  </si>
  <si>
    <t>166 2436</t>
  </si>
  <si>
    <t>1658 1830</t>
  </si>
  <si>
    <t>1658 2436</t>
  </si>
  <si>
    <t>290 1830</t>
  </si>
  <si>
    <t>290 1836</t>
  </si>
  <si>
    <t>290 2430</t>
  </si>
  <si>
    <t>290 2436</t>
  </si>
  <si>
    <t>290 2448</t>
  </si>
  <si>
    <t>290 2460</t>
  </si>
  <si>
    <t>290 2472</t>
  </si>
  <si>
    <t>2908 1830</t>
  </si>
  <si>
    <t>2908 1836</t>
  </si>
  <si>
    <t>2908 2436</t>
  </si>
  <si>
    <t>292 1830</t>
  </si>
  <si>
    <t>292 1836</t>
  </si>
  <si>
    <t>292 2436</t>
  </si>
  <si>
    <t>293 1830</t>
  </si>
  <si>
    <t>293 1836</t>
  </si>
  <si>
    <t>293 2436</t>
  </si>
  <si>
    <t>294 1830</t>
  </si>
  <si>
    <t>204-1</t>
  </si>
  <si>
    <t>204-2</t>
  </si>
  <si>
    <t>204-3</t>
  </si>
  <si>
    <t>207x36</t>
  </si>
  <si>
    <t>207x48</t>
  </si>
  <si>
    <t>207x60</t>
  </si>
  <si>
    <t>207x72</t>
  </si>
  <si>
    <t>211</t>
  </si>
  <si>
    <t>2116</t>
  </si>
  <si>
    <t>212</t>
  </si>
  <si>
    <t>221</t>
  </si>
  <si>
    <t>223x24</t>
  </si>
  <si>
    <t>223x36</t>
  </si>
  <si>
    <t>224x36</t>
  </si>
  <si>
    <t>2250</t>
  </si>
  <si>
    <t>2260</t>
  </si>
  <si>
    <t>2280</t>
  </si>
  <si>
    <t>2300</t>
  </si>
  <si>
    <t>232x24</t>
  </si>
  <si>
    <t>233</t>
  </si>
  <si>
    <t>239x34</t>
  </si>
  <si>
    <t>2400</t>
  </si>
  <si>
    <t>253</t>
  </si>
  <si>
    <t>254</t>
  </si>
  <si>
    <t>262</t>
  </si>
  <si>
    <t>262-130</t>
  </si>
  <si>
    <t>2620</t>
  </si>
  <si>
    <t>2621</t>
  </si>
  <si>
    <t>26212</t>
  </si>
  <si>
    <t>263</t>
  </si>
  <si>
    <t>264</t>
  </si>
  <si>
    <t>265</t>
  </si>
  <si>
    <t>270</t>
  </si>
  <si>
    <t>2706 25</t>
  </si>
  <si>
    <t>2706C</t>
  </si>
  <si>
    <t>2706 50</t>
  </si>
  <si>
    <t>272</t>
  </si>
  <si>
    <t>273</t>
  </si>
  <si>
    <t>2730</t>
  </si>
  <si>
    <t>274</t>
  </si>
  <si>
    <t>2740</t>
  </si>
  <si>
    <t>2746</t>
  </si>
  <si>
    <t>27460</t>
  </si>
  <si>
    <t>275</t>
  </si>
  <si>
    <t>277</t>
  </si>
  <si>
    <t>279</t>
  </si>
  <si>
    <t>283-604</t>
  </si>
  <si>
    <t>2840</t>
  </si>
  <si>
    <t>2860</t>
  </si>
  <si>
    <t>287</t>
  </si>
  <si>
    <t>2888</t>
  </si>
  <si>
    <t>2890</t>
  </si>
  <si>
    <t>2892</t>
  </si>
  <si>
    <t>295x16</t>
  </si>
  <si>
    <t>295x18</t>
  </si>
  <si>
    <t>295x24</t>
  </si>
  <si>
    <t>296x18</t>
  </si>
  <si>
    <t>297</t>
  </si>
  <si>
    <t>2974</t>
  </si>
  <si>
    <t>29744</t>
  </si>
  <si>
    <t>298x18</t>
  </si>
  <si>
    <t>298x24</t>
  </si>
  <si>
    <t>299</t>
  </si>
  <si>
    <t>301</t>
  </si>
  <si>
    <t>3013</t>
  </si>
  <si>
    <t>3094</t>
  </si>
  <si>
    <t>318</t>
  </si>
  <si>
    <t>347</t>
  </si>
  <si>
    <t>3471</t>
  </si>
  <si>
    <t>3474</t>
  </si>
  <si>
    <t>3479</t>
  </si>
  <si>
    <t>353</t>
  </si>
  <si>
    <t>35303</t>
  </si>
  <si>
    <t>354</t>
  </si>
  <si>
    <t>357</t>
  </si>
  <si>
    <t>3571</t>
  </si>
  <si>
    <t>3574</t>
  </si>
  <si>
    <t>3579</t>
  </si>
  <si>
    <t>359</t>
  </si>
  <si>
    <t>35903</t>
  </si>
  <si>
    <t>3644</t>
  </si>
  <si>
    <t>367-60</t>
  </si>
  <si>
    <t>368-60</t>
  </si>
  <si>
    <t>369</t>
  </si>
  <si>
    <t>369-130</t>
  </si>
  <si>
    <t>36903</t>
  </si>
  <si>
    <t>3699</t>
  </si>
  <si>
    <t>3706 25</t>
  </si>
  <si>
    <t>3706C</t>
  </si>
  <si>
    <t>3706 50</t>
  </si>
  <si>
    <t>3706-176</t>
  </si>
  <si>
    <t>37063 25</t>
  </si>
  <si>
    <t>37063C</t>
  </si>
  <si>
    <t>37063 50</t>
  </si>
  <si>
    <t>370634 25</t>
  </si>
  <si>
    <t>370634C</t>
  </si>
  <si>
    <t>370634 50</t>
  </si>
  <si>
    <t>370639 25</t>
  </si>
  <si>
    <t>370639C</t>
  </si>
  <si>
    <t>370639 50</t>
  </si>
  <si>
    <t>3803</t>
  </si>
  <si>
    <t>3803-130</t>
  </si>
  <si>
    <t>38032</t>
  </si>
  <si>
    <t>38034</t>
  </si>
  <si>
    <t>380349</t>
  </si>
  <si>
    <t>386</t>
  </si>
  <si>
    <t>3888</t>
  </si>
  <si>
    <t>39003</t>
  </si>
  <si>
    <t>39003-130</t>
  </si>
  <si>
    <t>3942</t>
  </si>
  <si>
    <t>3944</t>
  </si>
  <si>
    <t>3944-52</t>
  </si>
  <si>
    <t>3944-130</t>
  </si>
  <si>
    <t>3944-134</t>
  </si>
  <si>
    <t>3947</t>
  </si>
  <si>
    <t>3949</t>
  </si>
  <si>
    <t>3961</t>
  </si>
  <si>
    <t>3961-50</t>
  </si>
  <si>
    <t>39617</t>
  </si>
  <si>
    <t>39619</t>
  </si>
  <si>
    <t>397</t>
  </si>
  <si>
    <t>3974</t>
  </si>
  <si>
    <t>3974-150</t>
  </si>
  <si>
    <t>3974-57</t>
  </si>
  <si>
    <t>39747</t>
  </si>
  <si>
    <t>3979</t>
  </si>
  <si>
    <t>398</t>
  </si>
  <si>
    <t>4221</t>
  </si>
  <si>
    <t>4262</t>
  </si>
  <si>
    <t>4288</t>
  </si>
  <si>
    <t>4353</t>
  </si>
  <si>
    <t>4354</t>
  </si>
  <si>
    <t>43644</t>
  </si>
  <si>
    <t>43644-134</t>
  </si>
  <si>
    <t>4369</t>
  </si>
  <si>
    <t>4369-134</t>
  </si>
  <si>
    <t>43699</t>
  </si>
  <si>
    <t>4380</t>
  </si>
  <si>
    <t>4388</t>
  </si>
  <si>
    <t>4390</t>
  </si>
  <si>
    <t>43944</t>
  </si>
  <si>
    <t>43944-134</t>
  </si>
  <si>
    <t>43949</t>
  </si>
  <si>
    <t>4706 25</t>
  </si>
  <si>
    <t>4706C</t>
  </si>
  <si>
    <t>4706 50</t>
  </si>
  <si>
    <t>47064 25</t>
  </si>
  <si>
    <t>47064C</t>
  </si>
  <si>
    <t>47064 50</t>
  </si>
  <si>
    <t>47069 25</t>
  </si>
  <si>
    <t>47069C</t>
  </si>
  <si>
    <t>47069 50</t>
  </si>
  <si>
    <t>505</t>
  </si>
  <si>
    <t>517</t>
  </si>
  <si>
    <t>518</t>
  </si>
  <si>
    <t>5181</t>
  </si>
  <si>
    <t>5191</t>
  </si>
  <si>
    <t>5221</t>
  </si>
  <si>
    <t>526</t>
  </si>
  <si>
    <t>5262</t>
  </si>
  <si>
    <t>527</t>
  </si>
  <si>
    <t>5277</t>
  </si>
  <si>
    <t>5288</t>
  </si>
  <si>
    <t>529</t>
  </si>
  <si>
    <t>541</t>
  </si>
  <si>
    <t>542</t>
  </si>
  <si>
    <t>543</t>
  </si>
  <si>
    <t>544</t>
  </si>
  <si>
    <t>545x18</t>
  </si>
  <si>
    <t>545x24</t>
  </si>
  <si>
    <t>6047x36</t>
  </si>
  <si>
    <t>6047x48</t>
  </si>
  <si>
    <t>6047x60</t>
  </si>
  <si>
    <t>6047x72</t>
  </si>
  <si>
    <t>6107x36</t>
  </si>
  <si>
    <t>6107x48</t>
  </si>
  <si>
    <t>6107x60</t>
  </si>
  <si>
    <t>6107x72</t>
  </si>
  <si>
    <t>72860</t>
  </si>
  <si>
    <t>72974</t>
  </si>
  <si>
    <t>8397</t>
  </si>
  <si>
    <t>KB101-00</t>
  </si>
  <si>
    <t>KB110-SSRE</t>
  </si>
  <si>
    <t>KB110-SSWM</t>
  </si>
  <si>
    <t>KB200-00</t>
  </si>
  <si>
    <t>KB200-01SS</t>
  </si>
  <si>
    <t>KB200-05SS</t>
  </si>
  <si>
    <t>BATHROOM ACCESSORIES</t>
  </si>
  <si>
    <t>6637</t>
  </si>
  <si>
    <t>667</t>
  </si>
  <si>
    <t>6677</t>
  </si>
  <si>
    <t>6697</t>
  </si>
  <si>
    <t>6699</t>
  </si>
  <si>
    <t>66997</t>
  </si>
  <si>
    <t>670</t>
  </si>
  <si>
    <t>6707</t>
  </si>
  <si>
    <t>671</t>
  </si>
  <si>
    <t>6717</t>
  </si>
  <si>
    <t>672</t>
  </si>
  <si>
    <t>6727</t>
  </si>
  <si>
    <t>673x18</t>
  </si>
  <si>
    <t>673x24</t>
  </si>
  <si>
    <t>6737x24</t>
  </si>
  <si>
    <t>674x18</t>
  </si>
  <si>
    <t>674x24</t>
  </si>
  <si>
    <t>6747x24</t>
  </si>
  <si>
    <t>676x24</t>
  </si>
  <si>
    <t>677</t>
  </si>
  <si>
    <t>6777</t>
  </si>
  <si>
    <t>680</t>
  </si>
  <si>
    <t>6807</t>
  </si>
  <si>
    <t>682</t>
  </si>
  <si>
    <t>6827</t>
  </si>
  <si>
    <t>683x24</t>
  </si>
  <si>
    <t>685</t>
  </si>
  <si>
    <t>6857</t>
  </si>
  <si>
    <t>686</t>
  </si>
  <si>
    <t>6867</t>
  </si>
  <si>
    <t>687</t>
  </si>
  <si>
    <t>697</t>
  </si>
  <si>
    <t>6977</t>
  </si>
  <si>
    <t>699</t>
  </si>
  <si>
    <t>6997</t>
  </si>
  <si>
    <t>6999</t>
  </si>
  <si>
    <t>69997</t>
  </si>
  <si>
    <t>7671</t>
  </si>
  <si>
    <t>76717</t>
  </si>
  <si>
    <t>7672</t>
  </si>
  <si>
    <t>76727</t>
  </si>
  <si>
    <t>7685</t>
  </si>
  <si>
    <t>76857</t>
  </si>
  <si>
    <t>7686</t>
  </si>
  <si>
    <t>76867</t>
  </si>
  <si>
    <t>7120 115v</t>
  </si>
  <si>
    <t>7120 230v</t>
  </si>
  <si>
    <t>7128 115v</t>
  </si>
  <si>
    <t>7128 230v</t>
  </si>
  <si>
    <t>7180 115v</t>
  </si>
  <si>
    <t>7180 230v</t>
  </si>
  <si>
    <t>7185 115v</t>
  </si>
  <si>
    <t>7185 230v</t>
  </si>
  <si>
    <t>7188 115v</t>
  </si>
  <si>
    <t>7188 230v</t>
  </si>
  <si>
    <t>750 115v</t>
  </si>
  <si>
    <t>750 230v</t>
  </si>
  <si>
    <t>770 115v</t>
  </si>
  <si>
    <t>770 230v</t>
  </si>
  <si>
    <t>778 115v</t>
  </si>
  <si>
    <t>778 230v</t>
  </si>
  <si>
    <t>750-506</t>
  </si>
  <si>
    <t>942</t>
  </si>
  <si>
    <t>983</t>
  </si>
  <si>
    <t>985</t>
  </si>
  <si>
    <t>GRAB BARS</t>
  </si>
  <si>
    <t>4998</t>
  </si>
  <si>
    <t>4998.99</t>
  </si>
  <si>
    <t>530x18</t>
  </si>
  <si>
    <t>530x24</t>
  </si>
  <si>
    <t>5806x18</t>
  </si>
  <si>
    <t>5806x24</t>
  </si>
  <si>
    <t>5806x30</t>
  </si>
  <si>
    <t>5806x36</t>
  </si>
  <si>
    <t>5806x42</t>
  </si>
  <si>
    <t>5806x48</t>
  </si>
  <si>
    <t>5806.99x18</t>
  </si>
  <si>
    <t>5806.99x24</t>
  </si>
  <si>
    <t>5806.99x30</t>
  </si>
  <si>
    <t>5806.99x36</t>
  </si>
  <si>
    <t>5806.99x42</t>
  </si>
  <si>
    <t>5806.99x48</t>
  </si>
  <si>
    <t>5837</t>
  </si>
  <si>
    <t>5837.99</t>
  </si>
  <si>
    <t>58616</t>
  </si>
  <si>
    <t>58616.99</t>
  </si>
  <si>
    <t>5897</t>
  </si>
  <si>
    <t>5897.99</t>
  </si>
  <si>
    <t>6806x12</t>
  </si>
  <si>
    <t>6806x18</t>
  </si>
  <si>
    <t>6806x24</t>
  </si>
  <si>
    <t>6806x30</t>
  </si>
  <si>
    <t>6806x36</t>
  </si>
  <si>
    <t>6806x42</t>
  </si>
  <si>
    <t>6806x48</t>
  </si>
  <si>
    <t>6806.99x18</t>
  </si>
  <si>
    <t>6806.99x24</t>
  </si>
  <si>
    <t>6806.99x30</t>
  </si>
  <si>
    <t>6806.99x36</t>
  </si>
  <si>
    <t>6806.99x42</t>
  </si>
  <si>
    <t>68137</t>
  </si>
  <si>
    <t>68137.99</t>
  </si>
  <si>
    <t>6861</t>
  </si>
  <si>
    <t>6861.99</t>
  </si>
  <si>
    <t>68616</t>
  </si>
  <si>
    <t>68616.99</t>
  </si>
  <si>
    <t>6897</t>
  </si>
  <si>
    <t>6897.99</t>
  </si>
  <si>
    <t>251-4</t>
  </si>
  <si>
    <t>252-30</t>
  </si>
  <si>
    <t>2583</t>
  </si>
  <si>
    <t>2586</t>
  </si>
  <si>
    <t>220816</t>
  </si>
  <si>
    <t>221216</t>
  </si>
  <si>
    <t>2716</t>
  </si>
  <si>
    <t>35016</t>
  </si>
  <si>
    <t>350169</t>
  </si>
  <si>
    <t>4207x60</t>
  </si>
  <si>
    <t>4207x72</t>
  </si>
  <si>
    <t>49916</t>
  </si>
  <si>
    <t>50516</t>
  </si>
  <si>
    <t>50517</t>
  </si>
  <si>
    <t>5116</t>
  </si>
  <si>
    <t>518116x28</t>
  </si>
  <si>
    <t>518116x32</t>
  </si>
  <si>
    <t>5192</t>
  </si>
  <si>
    <t>5193</t>
  </si>
  <si>
    <t>580616x18</t>
  </si>
  <si>
    <t>580616x24</t>
  </si>
  <si>
    <t>580616x36</t>
  </si>
  <si>
    <t>580616x42</t>
  </si>
  <si>
    <t>7316</t>
  </si>
  <si>
    <t>7816</t>
  </si>
  <si>
    <t>918116L</t>
  </si>
  <si>
    <t>918116R</t>
  </si>
  <si>
    <t>980616x36</t>
  </si>
  <si>
    <t>980616x42</t>
  </si>
  <si>
    <t>HEALTHCARE</t>
  </si>
  <si>
    <t>WASHROOM ACCESSORIES</t>
  </si>
  <si>
    <t>MIRRORS</t>
  </si>
  <si>
    <t>SOAP DISPENSERS</t>
  </si>
  <si>
    <t>DEALER</t>
  </si>
  <si>
    <t>COMMERCIAL</t>
  </si>
  <si>
    <t>MAP</t>
  </si>
  <si>
    <t>SUREFLO SOAP DISPENSING SYSTEM</t>
  </si>
  <si>
    <t>KOALA KARE BABY CHANGING STATIONS</t>
  </si>
  <si>
    <t>WARM-AIR DRYERS</t>
  </si>
  <si>
    <t>VANDAL-RESISTANT ACCESSORIES</t>
  </si>
  <si>
    <t>MOUNTING DEVICES FOR GRAB BARS</t>
  </si>
  <si>
    <t>Part Number</t>
  </si>
  <si>
    <t>Part Name</t>
  </si>
  <si>
    <t>Distributor Net</t>
  </si>
  <si>
    <t>List Price</t>
  </si>
  <si>
    <t>100-785</t>
  </si>
  <si>
    <t>Baby Changing Station Hardware</t>
  </si>
  <si>
    <t>100-825</t>
  </si>
  <si>
    <t>Baby Changing Station Decal, Front</t>
  </si>
  <si>
    <t>100-841</t>
  </si>
  <si>
    <t>Restroom Door Decal</t>
  </si>
  <si>
    <t>100-874</t>
  </si>
  <si>
    <t>Gas Spring -Horizontal Polyethylene BCS</t>
  </si>
  <si>
    <t>100-885</t>
  </si>
  <si>
    <t>Strap -Horizontal Changing Station</t>
  </si>
  <si>
    <t>101-877</t>
  </si>
  <si>
    <t>Gas Spring -Vertical Polyethylene</t>
  </si>
  <si>
    <t>101-889</t>
  </si>
  <si>
    <t>Strap -Vertical Changing Station</t>
  </si>
  <si>
    <t>102-725</t>
  </si>
  <si>
    <t>Strap -Child Protection Seat</t>
  </si>
  <si>
    <t>110-875</t>
  </si>
  <si>
    <t>Gas Spring -Horizontal Stainless Steel BCS</t>
  </si>
  <si>
    <t>124-62</t>
  </si>
  <si>
    <t>Cable Tie, Series D</t>
  </si>
  <si>
    <t>150-4</t>
  </si>
  <si>
    <t>Soap Container -Charcoal</t>
  </si>
  <si>
    <t>150-7</t>
  </si>
  <si>
    <t>Soap Container, 1 Liter</t>
  </si>
  <si>
    <t>151-4</t>
  </si>
  <si>
    <t>Liquid Valve, Beige</t>
  </si>
  <si>
    <t>155-7</t>
  </si>
  <si>
    <t>Soap Container, 24 oz</t>
  </si>
  <si>
    <t>170-7</t>
  </si>
  <si>
    <t>Soap Container, 34 oz</t>
  </si>
  <si>
    <t>201-17</t>
  </si>
  <si>
    <t>Key</t>
  </si>
  <si>
    <t>2111-21</t>
  </si>
  <si>
    <t>Washer</t>
  </si>
  <si>
    <t>2112-34</t>
  </si>
  <si>
    <t>Window &amp; O-Ring, before June 1997</t>
  </si>
  <si>
    <t>2112-38</t>
  </si>
  <si>
    <t>Window &amp; O-Ring, after June 1997</t>
  </si>
  <si>
    <t>2210-25</t>
  </si>
  <si>
    <t>Strap Assembly</t>
  </si>
  <si>
    <t>2220-25</t>
  </si>
  <si>
    <t>2230-25</t>
  </si>
  <si>
    <t>2250-3</t>
  </si>
  <si>
    <t>Vinyl Liner</t>
  </si>
  <si>
    <t>2290-3</t>
  </si>
  <si>
    <t>234-44</t>
  </si>
  <si>
    <t>Lock &amp; Key for Coin Box</t>
  </si>
  <si>
    <t>234-49</t>
  </si>
  <si>
    <t>Coin Box</t>
  </si>
  <si>
    <t>234-51</t>
  </si>
  <si>
    <t>Lock &amp; Key</t>
  </si>
  <si>
    <t>234-56</t>
  </si>
  <si>
    <t>Coin Plate -Napkin Free</t>
  </si>
  <si>
    <t>234-59</t>
  </si>
  <si>
    <t>Coin Plate -Tampon 25 Cents</t>
  </si>
  <si>
    <t>234-66</t>
  </si>
  <si>
    <t>Coin Plate -Tampon Free</t>
  </si>
  <si>
    <t>234-67</t>
  </si>
  <si>
    <t>Napkin Weight</t>
  </si>
  <si>
    <t>234-68</t>
  </si>
  <si>
    <t>Tampon Weight</t>
  </si>
  <si>
    <t>24-17</t>
  </si>
  <si>
    <t>BobKey</t>
  </si>
  <si>
    <t>253-2</t>
  </si>
  <si>
    <t>Spindle</t>
  </si>
  <si>
    <t>254-36</t>
  </si>
  <si>
    <t>Waste Receptacle</t>
  </si>
  <si>
    <t>2621-8</t>
  </si>
  <si>
    <t>Knob Latch</t>
  </si>
  <si>
    <t>263-39</t>
  </si>
  <si>
    <t>268-14</t>
  </si>
  <si>
    <t>Heavy Vinyl Liner</t>
  </si>
  <si>
    <t>273-103</t>
  </si>
  <si>
    <t>Spindle, after December 1973</t>
  </si>
  <si>
    <t>2746-3</t>
  </si>
  <si>
    <t>2746-9</t>
  </si>
  <si>
    <t>Lock &amp; Key Kit</t>
  </si>
  <si>
    <t>275-14</t>
  </si>
  <si>
    <t>279-14</t>
  </si>
  <si>
    <t>2800-101</t>
  </si>
  <si>
    <t>Lock &amp; Key -Upper, CAT 118</t>
  </si>
  <si>
    <t>2800-104</t>
  </si>
  <si>
    <t>Lock &amp; Key -Lower, CAT 118</t>
  </si>
  <si>
    <t>2800-28</t>
  </si>
  <si>
    <t>Lock &amp; Key -Upper</t>
  </si>
  <si>
    <t>2800-48</t>
  </si>
  <si>
    <t>Lock -Lower</t>
  </si>
  <si>
    <t>2802 x 2-22</t>
  </si>
  <si>
    <t>Lock &amp; Key -Lower</t>
  </si>
  <si>
    <t>282-114</t>
  </si>
  <si>
    <t>Handle w/Setscrew Replacement Kit</t>
  </si>
  <si>
    <t>283-504</t>
  </si>
  <si>
    <t>Roller</t>
  </si>
  <si>
    <t>288-122</t>
  </si>
  <si>
    <t>288-42</t>
  </si>
  <si>
    <t>Lock &amp; Key, Contura</t>
  </si>
  <si>
    <t>2890-41</t>
  </si>
  <si>
    <t>Replacement Key for B-2890</t>
  </si>
  <si>
    <t>2892-36</t>
  </si>
  <si>
    <t>301-19</t>
  </si>
  <si>
    <t>305-19</t>
  </si>
  <si>
    <t>306-35</t>
  </si>
  <si>
    <t>Window Kit</t>
  </si>
  <si>
    <t>306-476</t>
  </si>
  <si>
    <t>Valve Kit, after July 1994</t>
  </si>
  <si>
    <t>310-19</t>
  </si>
  <si>
    <t>Collar Nut</t>
  </si>
  <si>
    <t>330-41</t>
  </si>
  <si>
    <t>330-43</t>
  </si>
  <si>
    <t>CAT 74 Door Key</t>
  </si>
  <si>
    <t>3309-9</t>
  </si>
  <si>
    <t>4" Skirt -Formerly 3359-9</t>
  </si>
  <si>
    <t>344-20</t>
  </si>
  <si>
    <t>3500-100</t>
  </si>
  <si>
    <t>Lock &amp; Key Upper</t>
  </si>
  <si>
    <t>3500-151</t>
  </si>
  <si>
    <t>Napkin Magazine Kit</t>
  </si>
  <si>
    <t>3500-152</t>
  </si>
  <si>
    <t>Tampon Magazine Kit</t>
  </si>
  <si>
    <t>3500-156</t>
  </si>
  <si>
    <t>Coin Plate Kit 25 Cents</t>
  </si>
  <si>
    <t>3500-157</t>
  </si>
  <si>
    <t>Coin Plate Complimentary</t>
  </si>
  <si>
    <t>3500-37</t>
  </si>
  <si>
    <t>Dummy box</t>
  </si>
  <si>
    <t>3500-38</t>
  </si>
  <si>
    <t>3500-48</t>
  </si>
  <si>
    <t>3500-58</t>
  </si>
  <si>
    <t>3500-86</t>
  </si>
  <si>
    <t>Coin Box w/Lock &amp; Key</t>
  </si>
  <si>
    <t>3500-94</t>
  </si>
  <si>
    <t>Lock</t>
  </si>
  <si>
    <t>3500-99</t>
  </si>
  <si>
    <t>3500 x 2-177</t>
  </si>
  <si>
    <t>Coin Plate Kit 50 Cents</t>
  </si>
  <si>
    <t>3502 x 2-22</t>
  </si>
  <si>
    <t>Lock &amp; Key -Formerly 344-22</t>
  </si>
  <si>
    <t>352-100</t>
  </si>
  <si>
    <t>Lock &amp; Key -Formerly 352-10</t>
  </si>
  <si>
    <t>352-110N</t>
  </si>
  <si>
    <t>Coinplate -Napkin 25 Cents</t>
  </si>
  <si>
    <t>352-110T</t>
  </si>
  <si>
    <t>Coinplate -Tampon 25 Cents</t>
  </si>
  <si>
    <t>352-111</t>
  </si>
  <si>
    <t>Lcok &amp; Key for Coin Box</t>
  </si>
  <si>
    <t>352-112</t>
  </si>
  <si>
    <t>Key for Coin Box</t>
  </si>
  <si>
    <t>352-113</t>
  </si>
  <si>
    <t>352-122</t>
  </si>
  <si>
    <t>Cat 118 Key</t>
  </si>
  <si>
    <t>352-15</t>
  </si>
  <si>
    <t>Tampon Rotor</t>
  </si>
  <si>
    <t>352-203</t>
  </si>
  <si>
    <t>Cover w/Lock &amp; Key, after 1972</t>
  </si>
  <si>
    <t>352-50</t>
  </si>
  <si>
    <t>353-25</t>
  </si>
  <si>
    <t>357-48</t>
  </si>
  <si>
    <t>360-48</t>
  </si>
  <si>
    <t>368-16</t>
  </si>
  <si>
    <t>369-112</t>
  </si>
  <si>
    <t>3699-57</t>
  </si>
  <si>
    <t>Skirt Replacement Kit</t>
  </si>
  <si>
    <t>3706-161</t>
  </si>
  <si>
    <t>Classic Coin Convert Kit 25 Cent</t>
  </si>
  <si>
    <t>3706-162</t>
  </si>
  <si>
    <t>Coin Conversion Kit 50 Cent</t>
  </si>
  <si>
    <t>3706-175</t>
  </si>
  <si>
    <t>Door Lock &amp; Key CAT-118</t>
  </si>
  <si>
    <t>3706-191</t>
  </si>
  <si>
    <t>Tampon Bezel Assembly 25 Cent</t>
  </si>
  <si>
    <t>3706-192</t>
  </si>
  <si>
    <t>Napkin Bezel Assembly 25 Cent</t>
  </si>
  <si>
    <t>3706-193</t>
  </si>
  <si>
    <t>Tampon Bezel Assembly 50 Cent</t>
  </si>
  <si>
    <t>3706-194</t>
  </si>
  <si>
    <t>Napkin Bezel Assembly 50 Cent</t>
  </si>
  <si>
    <t>370634-17</t>
  </si>
  <si>
    <t>Skirt Replacement Kit, Semi-Recessed</t>
  </si>
  <si>
    <t>370639-18</t>
  </si>
  <si>
    <t>16" Skirt Replacement Kit, Surface-Mounted</t>
  </si>
  <si>
    <t>3803-20</t>
  </si>
  <si>
    <t>38032-57</t>
  </si>
  <si>
    <t>3803-5</t>
  </si>
  <si>
    <t>38074-15</t>
  </si>
  <si>
    <t>388-42</t>
  </si>
  <si>
    <t>Lock &amp; Key &amp; Nut</t>
  </si>
  <si>
    <t>39003-21</t>
  </si>
  <si>
    <t>3942-57</t>
  </si>
  <si>
    <t>2" Skirt -Formerely 3942-9</t>
  </si>
  <si>
    <t>3944-41</t>
  </si>
  <si>
    <t>3944-55</t>
  </si>
  <si>
    <t>Door Replacement for B-3944</t>
  </si>
  <si>
    <t>3949-57</t>
  </si>
  <si>
    <t>Skirt</t>
  </si>
  <si>
    <t>39603-15</t>
  </si>
  <si>
    <t>3960-85</t>
  </si>
  <si>
    <t>Handle with Setscrew</t>
  </si>
  <si>
    <t>3960-91</t>
  </si>
  <si>
    <t>Roller Holder Kit</t>
  </si>
  <si>
    <t>3961-52</t>
  </si>
  <si>
    <t>Roll Towel Module Replacement Kit</t>
  </si>
  <si>
    <t>3974-52</t>
  </si>
  <si>
    <t>AC Adapter Kit for 3974/2974/824/828</t>
  </si>
  <si>
    <t>3974-63</t>
  </si>
  <si>
    <t>Set of Replacement Left/Right Towel Support</t>
  </si>
  <si>
    <t>4063-83</t>
  </si>
  <si>
    <t>Window Replacement Kit</t>
  </si>
  <si>
    <t>4112-19</t>
  </si>
  <si>
    <t>4112-34</t>
  </si>
  <si>
    <t>42-5</t>
  </si>
  <si>
    <t xml:space="preserve">Lid </t>
  </si>
  <si>
    <t>4262-36</t>
  </si>
  <si>
    <t>4288-9</t>
  </si>
  <si>
    <t>43500-24</t>
  </si>
  <si>
    <t>435009-19</t>
  </si>
  <si>
    <t>4353-35</t>
  </si>
  <si>
    <t>Waste Receptacle, Rework</t>
  </si>
  <si>
    <t>4354-31</t>
  </si>
  <si>
    <t>Hardware Packet</t>
  </si>
  <si>
    <t>4354-36</t>
  </si>
  <si>
    <t>4369-20</t>
  </si>
  <si>
    <t>43699-19</t>
  </si>
  <si>
    <t>43944-20</t>
  </si>
  <si>
    <t>43944-50</t>
  </si>
  <si>
    <t>Towel Tray Adapter Kit</t>
  </si>
  <si>
    <t>43944-91</t>
  </si>
  <si>
    <t>Door Assembly Replacement Kit</t>
  </si>
  <si>
    <t>43949-19</t>
  </si>
  <si>
    <t>4706-161</t>
  </si>
  <si>
    <t>Contura Coin Convert Kit 25 Cent</t>
  </si>
  <si>
    <t>4706-162</t>
  </si>
  <si>
    <t>Contura Coin Convert Kit 50 Cent</t>
  </si>
  <si>
    <t>4706-175</t>
  </si>
  <si>
    <t>4706-191</t>
  </si>
  <si>
    <t>Tampon  Bezel Assembly 25 Cent</t>
  </si>
  <si>
    <t>4706-192</t>
  </si>
  <si>
    <t>4706-193</t>
  </si>
  <si>
    <t>Tampon  Bezel Assembly 50 Cent</t>
  </si>
  <si>
    <t>4706-194</t>
  </si>
  <si>
    <t>Napkin Bezel Assembly 60 Cent</t>
  </si>
  <si>
    <t>4706-222</t>
  </si>
  <si>
    <t>DOOR LOCK &amp; KEY CAT-74</t>
  </si>
  <si>
    <t>47064-17</t>
  </si>
  <si>
    <t>47069-18</t>
  </si>
  <si>
    <t>Contura Skirt, Surface-Mounted Kit</t>
  </si>
  <si>
    <t>5050-45</t>
  </si>
  <si>
    <t>Lid Replacement Kit</t>
  </si>
  <si>
    <t>517-20</t>
  </si>
  <si>
    <t>Mounting Kit</t>
  </si>
  <si>
    <t>517-225</t>
  </si>
  <si>
    <t>Seat, Padded, Right Hand</t>
  </si>
  <si>
    <t>518-225</t>
  </si>
  <si>
    <t>Seat, Padded, Left Hand</t>
  </si>
  <si>
    <t>52860-21</t>
  </si>
  <si>
    <t>5288-7</t>
  </si>
  <si>
    <t>576-181</t>
  </si>
  <si>
    <t>Lock Washer -Bench</t>
  </si>
  <si>
    <t>6777-17</t>
  </si>
  <si>
    <t>Wall Plate, after June 1985</t>
  </si>
  <si>
    <t>6777-9</t>
  </si>
  <si>
    <t>Setscrew, after June 1985</t>
  </si>
  <si>
    <t>700-101</t>
  </si>
  <si>
    <t>Motor Brush-Set of 2</t>
  </si>
  <si>
    <t>700-111</t>
  </si>
  <si>
    <t>Motor Brush Kit, Brass</t>
  </si>
  <si>
    <t>700-150 115V</t>
  </si>
  <si>
    <t>Cover Assembly 115V, White</t>
  </si>
  <si>
    <t>700-150 230V</t>
  </si>
  <si>
    <t>Cover Assembly 208/240V, White</t>
  </si>
  <si>
    <t>700-156</t>
  </si>
  <si>
    <t>Cover Mounting Screws -Set of 2</t>
  </si>
  <si>
    <t>700-325</t>
  </si>
  <si>
    <t>Triac</t>
  </si>
  <si>
    <t>700-360</t>
  </si>
  <si>
    <t>Control, Autopilot 115V</t>
  </si>
  <si>
    <t>700-361</t>
  </si>
  <si>
    <t>Control, Autopilot 208/240V</t>
  </si>
  <si>
    <t>700-55</t>
  </si>
  <si>
    <t>Allen Wrench</t>
  </si>
  <si>
    <t>701-138</t>
  </si>
  <si>
    <t>Sensor Board, Touch Button</t>
  </si>
  <si>
    <t>701-360</t>
  </si>
  <si>
    <t>Timer, Touch Button 115V</t>
  </si>
  <si>
    <t>701-361</t>
  </si>
  <si>
    <t>Timer, Touch Button 208/240V</t>
  </si>
  <si>
    <t>708-150 115V</t>
  </si>
  <si>
    <t>Cover Assembly</t>
  </si>
  <si>
    <t>72860-43</t>
  </si>
  <si>
    <t>Plastic Key</t>
  </si>
  <si>
    <t>731-360</t>
  </si>
  <si>
    <t>731-361</t>
  </si>
  <si>
    <t>740-110-115V</t>
  </si>
  <si>
    <t>115V Power Module</t>
  </si>
  <si>
    <t>740-110-230V</t>
  </si>
  <si>
    <t>230V Power Module</t>
  </si>
  <si>
    <t>740-150</t>
  </si>
  <si>
    <t>Eclipse Dryer Cover, White</t>
  </si>
  <si>
    <t>748-150</t>
  </si>
  <si>
    <t>Eclipse Dryer Cover, Chrome</t>
  </si>
  <si>
    <t>750-150 115V</t>
  </si>
  <si>
    <t>Cover Assembly, White</t>
  </si>
  <si>
    <t>750-150 230V</t>
  </si>
  <si>
    <t>750-360</t>
  </si>
  <si>
    <t>750-361</t>
  </si>
  <si>
    <t>822-110</t>
  </si>
  <si>
    <t>Supply Tube</t>
  </si>
  <si>
    <t>82216-619</t>
  </si>
  <si>
    <t>Soap Pump</t>
  </si>
  <si>
    <t>822-25</t>
  </si>
  <si>
    <t>BobKey - Spindle</t>
  </si>
  <si>
    <t>822-45</t>
  </si>
  <si>
    <t>Container with Cap</t>
  </si>
  <si>
    <t>822-81</t>
  </si>
  <si>
    <t>Mounting Nut, Series F</t>
  </si>
  <si>
    <t>822-94</t>
  </si>
  <si>
    <t>Bottle Cap</t>
  </si>
  <si>
    <t>822-95</t>
  </si>
  <si>
    <t>Bottle</t>
  </si>
  <si>
    <t>Universal Basin Mounting Group</t>
  </si>
  <si>
    <t>822-619</t>
  </si>
  <si>
    <t>8221-45</t>
  </si>
  <si>
    <t>Bottle, 20 oz. &amp; Cap</t>
  </si>
  <si>
    <t>8221-95</t>
  </si>
  <si>
    <t>Soap Container</t>
  </si>
  <si>
    <t>8221-402</t>
  </si>
  <si>
    <t>8221-619</t>
  </si>
  <si>
    <t>8226-619</t>
  </si>
  <si>
    <t xml:space="preserve">824-210 </t>
  </si>
  <si>
    <t>Nozzle Tip Replacement Kit Liquid</t>
  </si>
  <si>
    <t>824-241</t>
  </si>
  <si>
    <t xml:space="preserve"> D Size Battery Pack (Batteries not included)</t>
  </si>
  <si>
    <t xml:space="preserve">824-325 </t>
  </si>
  <si>
    <t>Top Housing Assembly Liquid</t>
  </si>
  <si>
    <t>824-343</t>
  </si>
  <si>
    <t>Installation Hardware Packet</t>
  </si>
  <si>
    <t xml:space="preserve">824-350 </t>
  </si>
  <si>
    <t>Bottom Housing Assembly Liquid</t>
  </si>
  <si>
    <t xml:space="preserve">828-210 </t>
  </si>
  <si>
    <t xml:space="preserve">828-215 </t>
  </si>
  <si>
    <t>Stem Mixer Replacement Kit</t>
  </si>
  <si>
    <t xml:space="preserve">828-325 </t>
  </si>
  <si>
    <t>828-350</t>
  </si>
  <si>
    <t>828-343</t>
  </si>
  <si>
    <t>LOCK AND KEY</t>
  </si>
  <si>
    <t>Graffiti Remover, 10 fl. oz. Bottle</t>
  </si>
  <si>
    <t>10-32 x 3/8" Phill Round Head</t>
  </si>
  <si>
    <t>Stainless Steel Post to Ceiling</t>
  </si>
  <si>
    <t>Latch Screw</t>
  </si>
  <si>
    <t>Hardware for Stailnless Steel Post</t>
  </si>
  <si>
    <t>10-32 x 1-1/2" Phill Round Head</t>
  </si>
  <si>
    <t>Acorn Nut - 10-32</t>
  </si>
  <si>
    <t>10-32 x 1-3/4" Phill Round Head</t>
  </si>
  <si>
    <t>10-32 x 1-1/4 Phill Round Head</t>
  </si>
  <si>
    <t>Keeper I/S Alcove, 1040/1080</t>
  </si>
  <si>
    <t>Keeper O/S Alcove, 1040/1080</t>
  </si>
  <si>
    <t>Anchor Packet Wood Floor</t>
  </si>
  <si>
    <t>Panel In-Line w/Stile Bracket 3/4"</t>
  </si>
  <si>
    <t>Pull Handle Packet</t>
  </si>
  <si>
    <t>Headrail 120", 1082 - Series, Raw</t>
  </si>
  <si>
    <t xml:space="preserve">L  Bracket-Panel to Stile </t>
  </si>
  <si>
    <t>F Bracket-Panel to Wall 1"</t>
  </si>
  <si>
    <t>U Bracket-Panel to Stile 1"</t>
  </si>
  <si>
    <t>Bracket-Wall Hung Urinal Screen  1"</t>
  </si>
  <si>
    <t>Curtain Track</t>
  </si>
  <si>
    <t>Label-Handicapped Symbol</t>
  </si>
  <si>
    <t>Bracket, Wall-Hung Urinal Screen 3/4"</t>
  </si>
  <si>
    <t>Left Hand Bench Support</t>
  </si>
  <si>
    <t>Right Hand Bench Support</t>
  </si>
  <si>
    <t>End Cap for Headrail 1"</t>
  </si>
  <si>
    <t>Ceiling Anchor Packet 4" Stile</t>
  </si>
  <si>
    <t>Headrail, 120"-1042 Series, Raw</t>
  </si>
  <si>
    <t>Curtain Hook</t>
  </si>
  <si>
    <t>Curtain Packet</t>
  </si>
  <si>
    <t>Track Packet</t>
  </si>
  <si>
    <t>Robe Hook</t>
  </si>
  <si>
    <t>Allen Wrench 5/64" for Latch</t>
  </si>
  <si>
    <t>Headrail Bracket</t>
  </si>
  <si>
    <t>Hex Nut</t>
  </si>
  <si>
    <t>U Bracket, Panel-to-Stile 1/2"</t>
  </si>
  <si>
    <t>Y Bracket</t>
  </si>
  <si>
    <t>F Bracket, Panel-to-Wall 1/2"</t>
  </si>
  <si>
    <t>End Cap for Headrail 3/4"</t>
  </si>
  <si>
    <t>Plain Washer</t>
  </si>
  <si>
    <t>Stainless Steel U Wall Channel -Continuous 1" Material</t>
  </si>
  <si>
    <t>Stainless Steel U Wall Channel -Continuous 1/2" Material</t>
  </si>
  <si>
    <t>Stainless Steel Angle Bracket -Continuous</t>
  </si>
  <si>
    <t>Stainless Steel Strip Bracket -Continuous</t>
  </si>
  <si>
    <t>Latch Packet, .67/.65, I/S</t>
  </si>
  <si>
    <t>Support Bracket</t>
  </si>
  <si>
    <t>Keeper I/S Wall-Mounted, 1040</t>
  </si>
  <si>
    <t>Keeper I/S Wall-Mounted, 1080, 3/4"</t>
  </si>
  <si>
    <t>Keeper O/S Door, 1040/1080</t>
  </si>
  <si>
    <t>I/S Door Hardware, Zamak, 1540</t>
  </si>
  <si>
    <t>O/S Door Hardware, Zamak, 1540</t>
  </si>
  <si>
    <t>I/S  Alcove Keeper, Zamak, 1540</t>
  </si>
  <si>
    <t>O/S Alcove Keeper, Zamak, 1540</t>
  </si>
  <si>
    <t>Hinge Cam, 1040/1080</t>
  </si>
  <si>
    <t>Shoe 3"</t>
  </si>
  <si>
    <t>Shoe 4"</t>
  </si>
  <si>
    <t>Shoe 6"</t>
  </si>
  <si>
    <t>Shoe 8"</t>
  </si>
  <si>
    <t>Shoe 10"</t>
  </si>
  <si>
    <t>Shoe 12"</t>
  </si>
  <si>
    <t>Shoe 16"</t>
  </si>
  <si>
    <t>Shoe 20"</t>
  </si>
  <si>
    <t>Shoe 24"</t>
  </si>
  <si>
    <t>Shoe 5"</t>
  </si>
  <si>
    <t>Clip, Shoe</t>
  </si>
  <si>
    <t>Screw, Shoe</t>
  </si>
  <si>
    <t>Wall Channel Alumimium 1" Mtrl</t>
  </si>
  <si>
    <t>Screw Packet, IS/OS Door, 1540</t>
  </si>
  <si>
    <t>1080 Wall Post</t>
  </si>
  <si>
    <t>1040 Wall Post</t>
  </si>
  <si>
    <t>1540 Wall Post</t>
  </si>
  <si>
    <t>45 Degree Angle Packet</t>
  </si>
  <si>
    <t>L Hinge Packet, 1040/1080</t>
  </si>
  <si>
    <t>J Hinge Packet, 1040/1080</t>
  </si>
  <si>
    <t>.67 Wall Post</t>
  </si>
  <si>
    <t>Panel to Wall Packet, Zamak, 1540</t>
  </si>
  <si>
    <t>Stile Packet, 1540</t>
  </si>
  <si>
    <t>Headrail Attachment Packet, 1542</t>
  </si>
  <si>
    <t>U/S Packet, Zamak, 1540</t>
  </si>
  <si>
    <t>Headrail, 84", 1542</t>
  </si>
  <si>
    <t>Headrail, 120", 1542 Series, Raw</t>
  </si>
  <si>
    <t>Headrail, 84", 1032/1042/1842</t>
  </si>
  <si>
    <t>Headrail, 84", 1082/1182/.67</t>
  </si>
  <si>
    <t>72" Angle</t>
  </si>
  <si>
    <t>U-Channel 72", Continuous .67 1/2"</t>
  </si>
  <si>
    <t>Strip, Stainless Steel w/Holes, 71 1/2"</t>
  </si>
  <si>
    <t>Inline Alcove Panel Packet, Zamak, 1540</t>
  </si>
  <si>
    <t>Brass Insert O/S 1040 Doors</t>
  </si>
  <si>
    <t>Shoe Retainer, 1542</t>
  </si>
  <si>
    <t>Top Leveling Bracket</t>
  </si>
  <si>
    <t>Floor Anchor Packet</t>
  </si>
  <si>
    <t>Leveling Bolt</t>
  </si>
  <si>
    <t>I/S Door Hardware-Stainless Steel, 1540</t>
  </si>
  <si>
    <t>O/S Door Hardware-Stainless Steel, 1540</t>
  </si>
  <si>
    <t>Driver Kit for Torx Screws</t>
  </si>
  <si>
    <t>Torx Screw, 1/4-20 x 1/2" Machine</t>
  </si>
  <si>
    <t>Torx Screw, 1/4-20 x 5/8" Machine</t>
  </si>
  <si>
    <t>Torx Screw, 1/4-20 x 3/4" Machine</t>
  </si>
  <si>
    <t>Torx Screw, #12 x 2" Sheet Metal</t>
  </si>
  <si>
    <t>Torx Screw, #12 x 7/16" Sheet Metal</t>
  </si>
  <si>
    <t>Torx Screw, #12 x 3/4" Sheet Metal</t>
  </si>
  <si>
    <t>Door Plate w/Bumpers, .67</t>
  </si>
  <si>
    <t>I/S Latch Packet, Zamak</t>
  </si>
  <si>
    <t>O/S Latch Packet, Zamak</t>
  </si>
  <si>
    <t>I/S Keeper Packet, Zamak</t>
  </si>
  <si>
    <t>O/S Keeper Packet, Zamak</t>
  </si>
  <si>
    <t>Stainless Steel Latch Packet, 1540 I/S</t>
  </si>
  <si>
    <t>Stainless Steel Latch Packet, 1540 O/S</t>
  </si>
  <si>
    <t>Stainless Steel Keeper Packet, 1540 I/S</t>
  </si>
  <si>
    <t>Stainless Steel Keeper Packet, 1540 O/S</t>
  </si>
  <si>
    <t>Silicone Grease</t>
  </si>
  <si>
    <t>Occupancy Indicator Latch</t>
  </si>
  <si>
    <t>Bracket, Panel-to-Wall, 3/4"</t>
  </si>
  <si>
    <t>Point Option Bracket for Wall-Hung</t>
  </si>
  <si>
    <t>Sex Bolt, Male #10-24 x 3/8</t>
  </si>
  <si>
    <t>Sex Bolt, Male #10-24 x 5/8</t>
  </si>
  <si>
    <t>Sex Bolt, Female #10-24</t>
  </si>
  <si>
    <t>Floor Anchor, 1080</t>
  </si>
  <si>
    <t>Floor Anchor, 1040</t>
  </si>
  <si>
    <t>SPC Floor Anchor</t>
  </si>
  <si>
    <t>Retrofit Kit</t>
  </si>
  <si>
    <t>Stile Stiffener Packet 1080/1090</t>
  </si>
  <si>
    <t>Stile Stiffener Packet 1080/1090.67</t>
  </si>
  <si>
    <t>2017 US Parts Price List</t>
  </si>
  <si>
    <t>3725 115v</t>
  </si>
  <si>
    <t>5456x18</t>
  </si>
  <si>
    <t>5456x24</t>
  </si>
  <si>
    <t>3725 230v</t>
  </si>
  <si>
    <t>3725-23</t>
  </si>
  <si>
    <t>6806.99x48</t>
  </si>
  <si>
    <t>710 115V</t>
  </si>
  <si>
    <t>HAMILTON PARKER NET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</si>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</sst>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sz val="10"/>
      <name val="Helvetica"/>
      <family val="2"/>
    </font>
    <font>
      <b/>
      <sz val="20"/>
      <color theme="1"/>
      <name val="Helvetica"/>
      <family val="2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/>
    <xf numFmtId="44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/>
    <xf numFmtId="0" fontId="5" fillId="0" borderId="1" xfId="0" applyFont="1" applyFill="1" applyBorder="1"/>
    <xf numFmtId="44" fontId="5" fillId="0" borderId="1" xfId="1" applyFont="1" applyFill="1" applyBorder="1"/>
    <xf numFmtId="0" fontId="5" fillId="0" borderId="1" xfId="0" applyFont="1" applyFill="1" applyBorder="1" applyAlignment="1">
      <alignment horizontal="left"/>
    </xf>
    <xf numFmtId="44" fontId="0" fillId="0" borderId="0" xfId="0" applyNumberFormat="1"/>
    <xf numFmtId="0" fontId="6" fillId="0" borderId="1" xfId="0" applyFont="1" applyFill="1" applyBorder="1"/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44" fontId="0" fillId="0" borderId="0" xfId="1" applyFont="1"/>
    <xf numFmtId="0" fontId="2" fillId="0" borderId="1" xfId="0" applyFont="1" applyBorder="1" applyAlignment="1">
      <alignment horizontal="center" vertical="center" wrapText="1"/>
    </xf>
    <xf numFmtId="44" fontId="1" fillId="0" borderId="1" xfId="1" applyFont="1" applyFill="1" applyBorder="1"/>
    <xf numFmtId="0" fontId="0" fillId="0" borderId="0" xfId="0" applyFont="1" applyFill="1"/>
    <xf numFmtId="0" fontId="2" fillId="0" borderId="0" xfId="0" applyFont="1"/>
    <xf numFmtId="44" fontId="0" fillId="0" borderId="1" xfId="0" applyNumberFormat="1" applyFont="1" applyBorder="1"/>
    <xf numFmtId="0" fontId="0" fillId="0" borderId="0" xfId="0" applyFont="1"/>
    <xf numFmtId="44" fontId="0" fillId="0" borderId="1" xfId="0" applyNumberFormat="1" applyFont="1" applyFill="1" applyBorder="1"/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top"/>
    </xf>
    <xf numFmtId="0" fontId="10" fillId="0" borderId="0" xfId="0" applyFont="1" applyFill="1" applyAlignment="1">
      <alignment horizontal="left" vertical="top"/>
    </xf>
    <xf numFmtId="0" fontId="10" fillId="0" borderId="0" xfId="0" applyFont="1" applyFill="1" applyAlignment="1">
      <alignment vertical="top"/>
    </xf>
    <xf numFmtId="0" fontId="11" fillId="0" borderId="0" xfId="0" applyFont="1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  <xf numFmtId="44" fontId="5" fillId="0" borderId="1" xfId="1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44" fontId="2" fillId="0" borderId="1" xfId="1" applyFont="1" applyFill="1" applyBorder="1"/>
    <xf numFmtId="44" fontId="2" fillId="0" borderId="1" xfId="0" applyNumberFormat="1" applyFont="1" applyBorder="1"/>
    <xf numFmtId="0" fontId="8" fillId="0" borderId="1" xfId="0" applyFont="1" applyFill="1" applyBorder="1"/>
    <xf numFmtId="0" fontId="2" fillId="0" borderId="3" xfId="0" applyFont="1" applyFill="1" applyBorder="1" applyAlignment="1">
      <alignment horizontal="center" vertical="center" wrapText="1"/>
    </xf>
    <xf numFmtId="44" fontId="0" fillId="0" borderId="2" xfId="0" applyNumberFormat="1" applyFont="1" applyBorder="1"/>
    <xf numFmtId="44" fontId="5" fillId="0" borderId="2" xfId="0" applyNumberFormat="1" applyFont="1" applyFill="1" applyBorder="1"/>
    <xf numFmtId="44" fontId="2" fillId="0" borderId="2" xfId="0" applyNumberFormat="1" applyFont="1" applyBorder="1"/>
    <xf numFmtId="44" fontId="5" fillId="0" borderId="2" xfId="1" applyFont="1" applyFill="1" applyBorder="1" applyAlignment="1">
      <alignment horizontal="left"/>
    </xf>
    <xf numFmtId="0" fontId="0" fillId="0" borderId="1" xfId="0" applyBorder="1"/>
    <xf numFmtId="0" fontId="8" fillId="0" borderId="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Alignment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14" fillId="0" borderId="1" xfId="0" applyFont="1" applyFill="1" applyBorder="1" applyAlignment="1">
      <alignment horizontal="center" vertical="center" wrapText="1"/>
    </xf>
  </cellXfs>
  <cellStyles count="14">
    <cellStyle name="Comma 2" xfId="5"/>
    <cellStyle name="Currency" xfId="1" builtinId="4"/>
    <cellStyle name="Currency 2" xfId="4"/>
    <cellStyle name="Currency 2 2" xfId="6"/>
    <cellStyle name="Currency 3" xfId="7"/>
    <cellStyle name="Normal" xfId="0" builtinId="0"/>
    <cellStyle name="Normal 2" xfId="3"/>
    <cellStyle name="Normal 2 2" xfId="8"/>
    <cellStyle name="Normal 3" xfId="9"/>
    <cellStyle name="Normal 4" xfId="10"/>
    <cellStyle name="Normal 5" xfId="2"/>
    <cellStyle name="Percent 2" xfId="11"/>
    <cellStyle name="Percent 2 2" xfId="12"/>
    <cellStyle name="Percent 3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0"/>
  <sheetViews>
    <sheetView tabSelected="1" workbookViewId="0">
      <selection activeCell="K10" sqref="K10"/>
    </sheetView>
  </sheetViews>
  <sheetFormatPr defaultRowHeight="15" x14ac:dyDescent="0.25"/>
  <cols>
    <col min="1" max="1" width="13.28515625" style="1" bestFit="1" customWidth="1"/>
    <col min="2" max="2" width="15.140625" style="14" customWidth="1"/>
    <col min="3" max="4" width="15.140625" style="1" hidden="1" customWidth="1"/>
    <col min="5" max="5" width="12.140625" style="1" hidden="1" customWidth="1"/>
    <col min="6" max="6" width="11.7109375" style="36" bestFit="1" customWidth="1"/>
    <col min="7" max="16384" width="9.140625" style="1"/>
  </cols>
  <sheetData>
    <row r="1" spans="1:6" ht="30" customHeight="1" x14ac:dyDescent="0.25">
      <c r="A1" s="8" t="s">
        <v>0</v>
      </c>
      <c r="B1" s="44" t="s">
        <v>885</v>
      </c>
      <c r="C1" s="12" t="s">
        <v>398</v>
      </c>
      <c r="D1" s="12" t="s">
        <v>399</v>
      </c>
      <c r="E1" s="31" t="s">
        <v>400</v>
      </c>
      <c r="F1" s="9" t="s">
        <v>884</v>
      </c>
    </row>
    <row r="2" spans="1:6" ht="15" customHeight="1" x14ac:dyDescent="0.25">
      <c r="A2" s="40" t="s">
        <v>397</v>
      </c>
      <c r="B2" s="41"/>
      <c r="C2" s="41"/>
      <c r="D2" s="41"/>
      <c r="E2" s="41"/>
      <c r="F2" s="39"/>
    </row>
    <row r="3" spans="1:6" s="17" customFormat="1" x14ac:dyDescent="0.25">
      <c r="A3" s="2" t="s">
        <v>1</v>
      </c>
      <c r="B3" s="13">
        <v>13.5</v>
      </c>
      <c r="C3" s="16">
        <f>B3/0.75</f>
        <v>18</v>
      </c>
      <c r="D3" s="16">
        <f>B3*2</f>
        <v>27</v>
      </c>
      <c r="E3" s="32">
        <f>B3*1.15</f>
        <v>15.524999999999999</v>
      </c>
      <c r="F3" s="16">
        <f>B3*0.873</f>
        <v>11.785500000000001</v>
      </c>
    </row>
    <row r="4" spans="1:6" s="17" customFormat="1" x14ac:dyDescent="0.25">
      <c r="A4" s="2" t="s">
        <v>2</v>
      </c>
      <c r="B4" s="13">
        <v>10.050000000000001</v>
      </c>
      <c r="C4" s="16">
        <f t="shared" ref="C4:C70" si="0">B4/0.75</f>
        <v>13.4</v>
      </c>
      <c r="D4" s="16">
        <f t="shared" ref="D4:D70" si="1">B4*2</f>
        <v>20.100000000000001</v>
      </c>
      <c r="E4" s="32">
        <f t="shared" ref="E4:E69" si="2">B4*1.15</f>
        <v>11.557499999999999</v>
      </c>
      <c r="F4" s="16">
        <f t="shared" ref="F4:F27" si="3">B4*0.873</f>
        <v>8.7736499999999999</v>
      </c>
    </row>
    <row r="5" spans="1:6" s="17" customFormat="1" x14ac:dyDescent="0.25">
      <c r="A5" s="2" t="s">
        <v>3</v>
      </c>
      <c r="B5" s="13">
        <v>28.650000000000002</v>
      </c>
      <c r="C5" s="16">
        <f t="shared" si="0"/>
        <v>38.200000000000003</v>
      </c>
      <c r="D5" s="16">
        <f t="shared" si="1"/>
        <v>57.300000000000004</v>
      </c>
      <c r="E5" s="32">
        <f t="shared" si="2"/>
        <v>32.947499999999998</v>
      </c>
      <c r="F5" s="16">
        <f t="shared" si="3"/>
        <v>25.011450000000004</v>
      </c>
    </row>
    <row r="6" spans="1:6" s="17" customFormat="1" x14ac:dyDescent="0.25">
      <c r="A6" s="2" t="s">
        <v>4</v>
      </c>
      <c r="B6" s="13">
        <v>23.400000000000002</v>
      </c>
      <c r="C6" s="16">
        <f t="shared" si="0"/>
        <v>31.200000000000003</v>
      </c>
      <c r="D6" s="16">
        <f t="shared" si="1"/>
        <v>46.800000000000004</v>
      </c>
      <c r="E6" s="32">
        <f t="shared" si="2"/>
        <v>26.91</v>
      </c>
      <c r="F6" s="16">
        <f t="shared" si="3"/>
        <v>20.4282</v>
      </c>
    </row>
    <row r="7" spans="1:6" s="17" customFormat="1" x14ac:dyDescent="0.25">
      <c r="A7" s="2" t="s">
        <v>5</v>
      </c>
      <c r="B7" s="13">
        <v>28.650000000000002</v>
      </c>
      <c r="C7" s="16">
        <f t="shared" si="0"/>
        <v>38.200000000000003</v>
      </c>
      <c r="D7" s="16">
        <f t="shared" si="1"/>
        <v>57.300000000000004</v>
      </c>
      <c r="E7" s="32">
        <f t="shared" si="2"/>
        <v>32.947499999999998</v>
      </c>
      <c r="F7" s="16">
        <f t="shared" si="3"/>
        <v>25.011450000000004</v>
      </c>
    </row>
    <row r="8" spans="1:6" s="17" customFormat="1" x14ac:dyDescent="0.25">
      <c r="A8" s="2" t="s">
        <v>6</v>
      </c>
      <c r="B8" s="13">
        <v>86.7</v>
      </c>
      <c r="C8" s="16">
        <f t="shared" si="0"/>
        <v>115.60000000000001</v>
      </c>
      <c r="D8" s="16">
        <f t="shared" si="1"/>
        <v>173.4</v>
      </c>
      <c r="E8" s="32">
        <f t="shared" si="2"/>
        <v>99.704999999999998</v>
      </c>
      <c r="F8" s="16">
        <f t="shared" si="3"/>
        <v>75.689099999999996</v>
      </c>
    </row>
    <row r="9" spans="1:6" s="17" customFormat="1" x14ac:dyDescent="0.25">
      <c r="A9" s="2" t="s">
        <v>7</v>
      </c>
      <c r="B9" s="13">
        <v>15.450000000000001</v>
      </c>
      <c r="C9" s="16">
        <f t="shared" si="0"/>
        <v>20.6</v>
      </c>
      <c r="D9" s="16">
        <f t="shared" si="1"/>
        <v>30.900000000000002</v>
      </c>
      <c r="E9" s="32">
        <f t="shared" si="2"/>
        <v>17.767499999999998</v>
      </c>
      <c r="F9" s="16">
        <f t="shared" si="3"/>
        <v>13.487850000000002</v>
      </c>
    </row>
    <row r="10" spans="1:6" s="17" customFormat="1" x14ac:dyDescent="0.25">
      <c r="A10" s="2" t="s">
        <v>8</v>
      </c>
      <c r="B10" s="13">
        <v>157.95000000000002</v>
      </c>
      <c r="C10" s="16">
        <f t="shared" si="0"/>
        <v>210.60000000000002</v>
      </c>
      <c r="D10" s="16">
        <f t="shared" si="1"/>
        <v>315.90000000000003</v>
      </c>
      <c r="E10" s="32">
        <f t="shared" si="2"/>
        <v>181.64250000000001</v>
      </c>
      <c r="F10" s="16">
        <f t="shared" si="3"/>
        <v>137.89035000000001</v>
      </c>
    </row>
    <row r="11" spans="1:6" s="17" customFormat="1" x14ac:dyDescent="0.25">
      <c r="A11" s="2" t="s">
        <v>9</v>
      </c>
      <c r="B11" s="13">
        <v>43.2</v>
      </c>
      <c r="C11" s="16">
        <f t="shared" si="0"/>
        <v>57.6</v>
      </c>
      <c r="D11" s="16">
        <f t="shared" si="1"/>
        <v>86.4</v>
      </c>
      <c r="E11" s="32">
        <f t="shared" si="2"/>
        <v>49.68</v>
      </c>
      <c r="F11" s="16">
        <f t="shared" si="3"/>
        <v>37.7136</v>
      </c>
    </row>
    <row r="12" spans="1:6" s="17" customFormat="1" x14ac:dyDescent="0.25">
      <c r="A12" s="2" t="s">
        <v>10</v>
      </c>
      <c r="B12" s="13">
        <v>18.900000000000002</v>
      </c>
      <c r="C12" s="16">
        <f t="shared" si="0"/>
        <v>25.200000000000003</v>
      </c>
      <c r="D12" s="16">
        <f t="shared" si="1"/>
        <v>37.800000000000004</v>
      </c>
      <c r="E12" s="32">
        <f t="shared" si="2"/>
        <v>21.734999999999999</v>
      </c>
      <c r="F12" s="16">
        <f t="shared" si="3"/>
        <v>16.499700000000001</v>
      </c>
    </row>
    <row r="13" spans="1:6" s="17" customFormat="1" x14ac:dyDescent="0.25">
      <c r="A13" s="2" t="s">
        <v>11</v>
      </c>
      <c r="B13" s="13">
        <v>16.950000000000003</v>
      </c>
      <c r="C13" s="16">
        <f t="shared" si="0"/>
        <v>22.600000000000005</v>
      </c>
      <c r="D13" s="16">
        <f t="shared" si="1"/>
        <v>33.900000000000006</v>
      </c>
      <c r="E13" s="32">
        <f t="shared" si="2"/>
        <v>19.492500000000003</v>
      </c>
      <c r="F13" s="16">
        <f t="shared" si="3"/>
        <v>14.797350000000003</v>
      </c>
    </row>
    <row r="14" spans="1:6" s="17" customFormat="1" x14ac:dyDescent="0.25">
      <c r="A14" s="2" t="s">
        <v>12</v>
      </c>
      <c r="B14" s="13">
        <v>19.05</v>
      </c>
      <c r="C14" s="16">
        <f t="shared" si="0"/>
        <v>25.400000000000002</v>
      </c>
      <c r="D14" s="16">
        <f t="shared" si="1"/>
        <v>38.1</v>
      </c>
      <c r="E14" s="32">
        <f t="shared" si="2"/>
        <v>21.907499999999999</v>
      </c>
      <c r="F14" s="16">
        <f t="shared" si="3"/>
        <v>16.630649999999999</v>
      </c>
    </row>
    <row r="15" spans="1:6" s="17" customFormat="1" x14ac:dyDescent="0.25">
      <c r="A15" s="2" t="s">
        <v>13</v>
      </c>
      <c r="B15" s="13">
        <v>27.6</v>
      </c>
      <c r="C15" s="16">
        <f t="shared" si="0"/>
        <v>36.800000000000004</v>
      </c>
      <c r="D15" s="16">
        <f t="shared" si="1"/>
        <v>55.2</v>
      </c>
      <c r="E15" s="32">
        <f t="shared" si="2"/>
        <v>31.74</v>
      </c>
      <c r="F15" s="16">
        <f t="shared" si="3"/>
        <v>24.094800000000003</v>
      </c>
    </row>
    <row r="16" spans="1:6" s="17" customFormat="1" x14ac:dyDescent="0.25">
      <c r="A16" s="2" t="s">
        <v>14</v>
      </c>
      <c r="B16" s="13">
        <v>27.6</v>
      </c>
      <c r="C16" s="16">
        <f t="shared" si="0"/>
        <v>36.800000000000004</v>
      </c>
      <c r="D16" s="16">
        <f t="shared" si="1"/>
        <v>55.2</v>
      </c>
      <c r="E16" s="32">
        <f t="shared" si="2"/>
        <v>31.74</v>
      </c>
      <c r="F16" s="16">
        <f t="shared" si="3"/>
        <v>24.094800000000003</v>
      </c>
    </row>
    <row r="17" spans="1:6" s="17" customFormat="1" x14ac:dyDescent="0.25">
      <c r="A17" s="2" t="s">
        <v>15</v>
      </c>
      <c r="B17" s="13">
        <v>32.25</v>
      </c>
      <c r="C17" s="16">
        <f t="shared" si="0"/>
        <v>43</v>
      </c>
      <c r="D17" s="16">
        <f t="shared" si="1"/>
        <v>64.5</v>
      </c>
      <c r="E17" s="32">
        <f t="shared" si="2"/>
        <v>37.087499999999999</v>
      </c>
      <c r="F17" s="16">
        <f t="shared" si="3"/>
        <v>28.154250000000001</v>
      </c>
    </row>
    <row r="18" spans="1:6" s="17" customFormat="1" x14ac:dyDescent="0.25">
      <c r="A18" s="2" t="s">
        <v>16</v>
      </c>
      <c r="B18" s="13">
        <v>32.25</v>
      </c>
      <c r="C18" s="16">
        <f t="shared" si="0"/>
        <v>43</v>
      </c>
      <c r="D18" s="16">
        <f t="shared" si="1"/>
        <v>64.5</v>
      </c>
      <c r="E18" s="32">
        <f t="shared" si="2"/>
        <v>37.087499999999999</v>
      </c>
      <c r="F18" s="16">
        <f t="shared" si="3"/>
        <v>28.154250000000001</v>
      </c>
    </row>
    <row r="19" spans="1:6" s="17" customFormat="1" x14ac:dyDescent="0.25">
      <c r="A19" s="4">
        <v>823</v>
      </c>
      <c r="B19" s="3">
        <v>64.95</v>
      </c>
      <c r="C19" s="16">
        <f t="shared" si="0"/>
        <v>86.600000000000009</v>
      </c>
      <c r="D19" s="16">
        <f t="shared" si="1"/>
        <v>129.9</v>
      </c>
      <c r="E19" s="33">
        <v>81.2</v>
      </c>
      <c r="F19" s="16">
        <f t="shared" si="3"/>
        <v>56.701350000000005</v>
      </c>
    </row>
    <row r="20" spans="1:6" s="17" customFormat="1" x14ac:dyDescent="0.25">
      <c r="A20" s="4">
        <v>8231</v>
      </c>
      <c r="B20" s="3">
        <v>64.95</v>
      </c>
      <c r="C20" s="16">
        <f t="shared" si="0"/>
        <v>86.600000000000009</v>
      </c>
      <c r="D20" s="16">
        <f t="shared" si="1"/>
        <v>129.9</v>
      </c>
      <c r="E20" s="33">
        <v>81.2</v>
      </c>
      <c r="F20" s="16">
        <f t="shared" si="3"/>
        <v>56.701350000000005</v>
      </c>
    </row>
    <row r="21" spans="1:6" s="17" customFormat="1" x14ac:dyDescent="0.25">
      <c r="A21" s="4">
        <v>8236</v>
      </c>
      <c r="B21" s="3">
        <v>75.900000000000006</v>
      </c>
      <c r="C21" s="16">
        <f t="shared" si="0"/>
        <v>101.2</v>
      </c>
      <c r="D21" s="16">
        <f t="shared" si="1"/>
        <v>151.80000000000001</v>
      </c>
      <c r="E21" s="33">
        <v>94.85</v>
      </c>
      <c r="F21" s="16">
        <f t="shared" si="3"/>
        <v>66.2607</v>
      </c>
    </row>
    <row r="22" spans="1:6" s="17" customFormat="1" x14ac:dyDescent="0.25">
      <c r="A22" s="4">
        <v>82316</v>
      </c>
      <c r="B22" s="3">
        <v>75.900000000000006</v>
      </c>
      <c r="C22" s="16">
        <f t="shared" si="0"/>
        <v>101.2</v>
      </c>
      <c r="D22" s="16">
        <f t="shared" si="1"/>
        <v>151.80000000000001</v>
      </c>
      <c r="E22" s="33">
        <v>94.85</v>
      </c>
      <c r="F22" s="16">
        <f t="shared" si="3"/>
        <v>66.2607</v>
      </c>
    </row>
    <row r="23" spans="1:6" s="17" customFormat="1" x14ac:dyDescent="0.25">
      <c r="A23" s="2" t="s">
        <v>17</v>
      </c>
      <c r="B23" s="13">
        <v>89.550000000000011</v>
      </c>
      <c r="C23" s="16">
        <f t="shared" si="0"/>
        <v>119.40000000000002</v>
      </c>
      <c r="D23" s="16">
        <f t="shared" si="1"/>
        <v>179.10000000000002</v>
      </c>
      <c r="E23" s="32">
        <f t="shared" si="2"/>
        <v>102.9825</v>
      </c>
      <c r="F23" s="16">
        <f t="shared" si="3"/>
        <v>78.177150000000012</v>
      </c>
    </row>
    <row r="24" spans="1:6" s="17" customFormat="1" x14ac:dyDescent="0.25">
      <c r="A24" s="2" t="s">
        <v>18</v>
      </c>
      <c r="B24" s="13">
        <v>108.15</v>
      </c>
      <c r="C24" s="16">
        <f t="shared" si="0"/>
        <v>144.20000000000002</v>
      </c>
      <c r="D24" s="16">
        <f t="shared" si="1"/>
        <v>216.3</v>
      </c>
      <c r="E24" s="32">
        <f t="shared" si="2"/>
        <v>124.3725</v>
      </c>
      <c r="F24" s="16">
        <f t="shared" si="3"/>
        <v>94.414950000000005</v>
      </c>
    </row>
    <row r="25" spans="1:6" s="17" customFormat="1" x14ac:dyDescent="0.25">
      <c r="A25" s="2" t="s">
        <v>19</v>
      </c>
      <c r="B25" s="13">
        <v>57.150000000000006</v>
      </c>
      <c r="C25" s="16">
        <f t="shared" si="0"/>
        <v>76.2</v>
      </c>
      <c r="D25" s="16">
        <f t="shared" si="1"/>
        <v>114.30000000000001</v>
      </c>
      <c r="E25" s="32">
        <f t="shared" si="2"/>
        <v>65.722499999999997</v>
      </c>
      <c r="F25" s="16">
        <f t="shared" si="3"/>
        <v>49.891950000000001</v>
      </c>
    </row>
    <row r="26" spans="1:6" s="17" customFormat="1" x14ac:dyDescent="0.25">
      <c r="A26" s="2" t="s">
        <v>20</v>
      </c>
      <c r="B26" s="13">
        <v>93.9</v>
      </c>
      <c r="C26" s="16">
        <f t="shared" si="0"/>
        <v>125.2</v>
      </c>
      <c r="D26" s="16">
        <f t="shared" si="1"/>
        <v>187.8</v>
      </c>
      <c r="E26" s="32">
        <f t="shared" si="2"/>
        <v>107.985</v>
      </c>
      <c r="F26" s="16">
        <f t="shared" si="3"/>
        <v>81.974699999999999</v>
      </c>
    </row>
    <row r="27" spans="1:6" s="17" customFormat="1" x14ac:dyDescent="0.25">
      <c r="A27" s="2" t="s">
        <v>21</v>
      </c>
      <c r="B27" s="13">
        <v>122.55000000000001</v>
      </c>
      <c r="C27" s="16">
        <f t="shared" si="0"/>
        <v>163.4</v>
      </c>
      <c r="D27" s="16">
        <f t="shared" si="1"/>
        <v>245.10000000000002</v>
      </c>
      <c r="E27" s="32">
        <f t="shared" si="2"/>
        <v>140.9325</v>
      </c>
      <c r="F27" s="16">
        <f t="shared" si="3"/>
        <v>106.98615000000001</v>
      </c>
    </row>
    <row r="28" spans="1:6" s="17" customFormat="1" x14ac:dyDescent="0.25">
      <c r="A28" s="37" t="s">
        <v>401</v>
      </c>
      <c r="B28" s="38"/>
      <c r="C28" s="38"/>
      <c r="D28" s="38"/>
      <c r="E28" s="38"/>
      <c r="F28" s="39"/>
    </row>
    <row r="29" spans="1:6" s="17" customFormat="1" x14ac:dyDescent="0.25">
      <c r="A29" s="2" t="s">
        <v>22</v>
      </c>
      <c r="B29" s="13">
        <v>30</v>
      </c>
      <c r="C29" s="16">
        <f t="shared" si="0"/>
        <v>40</v>
      </c>
      <c r="D29" s="16">
        <f t="shared" si="1"/>
        <v>60</v>
      </c>
      <c r="E29" s="32">
        <f t="shared" si="2"/>
        <v>34.5</v>
      </c>
      <c r="F29" s="16">
        <f>B29*0.873</f>
        <v>26.19</v>
      </c>
    </row>
    <row r="30" spans="1:6" s="17" customFormat="1" x14ac:dyDescent="0.25">
      <c r="A30" s="2" t="s">
        <v>23</v>
      </c>
      <c r="B30" s="13">
        <v>40.5</v>
      </c>
      <c r="C30" s="16">
        <f t="shared" si="0"/>
        <v>54</v>
      </c>
      <c r="D30" s="16">
        <f t="shared" si="1"/>
        <v>81</v>
      </c>
      <c r="E30" s="32">
        <f t="shared" si="2"/>
        <v>46.574999999999996</v>
      </c>
      <c r="F30" s="16">
        <f t="shared" ref="F30:F44" si="4">B30*0.873</f>
        <v>35.356499999999997</v>
      </c>
    </row>
    <row r="31" spans="1:6" s="17" customFormat="1" x14ac:dyDescent="0.25">
      <c r="A31" s="4">
        <v>81412</v>
      </c>
      <c r="B31" s="13">
        <v>34.050000000000004</v>
      </c>
      <c r="C31" s="16">
        <f t="shared" si="0"/>
        <v>45.400000000000006</v>
      </c>
      <c r="D31" s="16">
        <f t="shared" si="1"/>
        <v>68.100000000000009</v>
      </c>
      <c r="E31" s="32">
        <f t="shared" si="2"/>
        <v>39.157499999999999</v>
      </c>
      <c r="F31" s="16">
        <f t="shared" si="4"/>
        <v>29.725650000000005</v>
      </c>
    </row>
    <row r="32" spans="1:6" s="17" customFormat="1" x14ac:dyDescent="0.25">
      <c r="A32" s="27">
        <v>82512</v>
      </c>
      <c r="B32" s="28">
        <v>36</v>
      </c>
      <c r="C32" s="29">
        <f t="shared" si="0"/>
        <v>48</v>
      </c>
      <c r="D32" s="29">
        <f t="shared" si="1"/>
        <v>72</v>
      </c>
      <c r="E32" s="34">
        <f t="shared" si="2"/>
        <v>41.4</v>
      </c>
      <c r="F32" s="16">
        <f t="shared" si="4"/>
        <v>31.428000000000001</v>
      </c>
    </row>
    <row r="33" spans="1:6" s="17" customFormat="1" x14ac:dyDescent="0.25">
      <c r="A33" s="2" t="s">
        <v>24</v>
      </c>
      <c r="B33" s="13">
        <v>158.70000000000002</v>
      </c>
      <c r="C33" s="16">
        <f t="shared" si="0"/>
        <v>211.60000000000002</v>
      </c>
      <c r="D33" s="16">
        <f t="shared" si="1"/>
        <v>317.40000000000003</v>
      </c>
      <c r="E33" s="32">
        <f t="shared" si="2"/>
        <v>182.505</v>
      </c>
      <c r="F33" s="16">
        <f t="shared" si="4"/>
        <v>138.54510000000002</v>
      </c>
    </row>
    <row r="34" spans="1:6" s="17" customFormat="1" x14ac:dyDescent="0.25">
      <c r="A34" s="2" t="s">
        <v>25</v>
      </c>
      <c r="B34" s="13">
        <v>185.70000000000002</v>
      </c>
      <c r="C34" s="16">
        <f t="shared" si="0"/>
        <v>247.60000000000002</v>
      </c>
      <c r="D34" s="16">
        <f t="shared" si="1"/>
        <v>371.40000000000003</v>
      </c>
      <c r="E34" s="32">
        <f t="shared" si="2"/>
        <v>213.55500000000001</v>
      </c>
      <c r="F34" s="16">
        <f t="shared" si="4"/>
        <v>162.11610000000002</v>
      </c>
    </row>
    <row r="35" spans="1:6" s="17" customFormat="1" x14ac:dyDescent="0.25">
      <c r="A35" s="2" t="s">
        <v>26</v>
      </c>
      <c r="B35" s="13">
        <v>196.20000000000002</v>
      </c>
      <c r="C35" s="16">
        <f t="shared" si="0"/>
        <v>261.60000000000002</v>
      </c>
      <c r="D35" s="16">
        <f t="shared" si="1"/>
        <v>392.40000000000003</v>
      </c>
      <c r="E35" s="32">
        <f t="shared" si="2"/>
        <v>225.63</v>
      </c>
      <c r="F35" s="16">
        <f t="shared" si="4"/>
        <v>171.2826</v>
      </c>
    </row>
    <row r="36" spans="1:6" s="17" customFormat="1" x14ac:dyDescent="0.25">
      <c r="A36" s="4">
        <v>830.14</v>
      </c>
      <c r="B36" s="13">
        <v>189.75</v>
      </c>
      <c r="C36" s="16">
        <f t="shared" si="0"/>
        <v>253</v>
      </c>
      <c r="D36" s="16">
        <f t="shared" si="1"/>
        <v>379.5</v>
      </c>
      <c r="E36" s="32">
        <f t="shared" si="2"/>
        <v>218.21249999999998</v>
      </c>
      <c r="F36" s="16">
        <f t="shared" si="4"/>
        <v>165.65174999999999</v>
      </c>
    </row>
    <row r="37" spans="1:6" s="17" customFormat="1" x14ac:dyDescent="0.25">
      <c r="A37" s="2" t="s">
        <v>27</v>
      </c>
      <c r="B37" s="13">
        <v>25.650000000000002</v>
      </c>
      <c r="C37" s="16">
        <f t="shared" si="0"/>
        <v>34.200000000000003</v>
      </c>
      <c r="D37" s="16">
        <f t="shared" si="1"/>
        <v>51.300000000000004</v>
      </c>
      <c r="E37" s="32">
        <f t="shared" si="2"/>
        <v>29.497499999999999</v>
      </c>
      <c r="F37" s="16">
        <f t="shared" si="4"/>
        <v>22.39245</v>
      </c>
    </row>
    <row r="38" spans="1:6" s="17" customFormat="1" x14ac:dyDescent="0.25">
      <c r="A38" s="2" t="s">
        <v>28</v>
      </c>
      <c r="B38" s="13">
        <v>6.6000000000000005</v>
      </c>
      <c r="C38" s="16">
        <f t="shared" si="0"/>
        <v>8.8000000000000007</v>
      </c>
      <c r="D38" s="16">
        <f t="shared" si="1"/>
        <v>13.200000000000001</v>
      </c>
      <c r="E38" s="32">
        <f t="shared" si="2"/>
        <v>7.59</v>
      </c>
      <c r="F38" s="16">
        <f t="shared" si="4"/>
        <v>5.7618</v>
      </c>
    </row>
    <row r="39" spans="1:6" s="17" customFormat="1" x14ac:dyDescent="0.25">
      <c r="A39" s="2" t="s">
        <v>29</v>
      </c>
      <c r="B39" s="13">
        <v>14.400000000000002</v>
      </c>
      <c r="C39" s="16">
        <f t="shared" si="0"/>
        <v>19.200000000000003</v>
      </c>
      <c r="D39" s="16">
        <f t="shared" si="1"/>
        <v>28.800000000000004</v>
      </c>
      <c r="E39" s="32">
        <f t="shared" si="2"/>
        <v>16.560000000000002</v>
      </c>
      <c r="F39" s="16">
        <f t="shared" si="4"/>
        <v>12.571200000000001</v>
      </c>
    </row>
    <row r="40" spans="1:6" s="17" customFormat="1" x14ac:dyDescent="0.25">
      <c r="A40" s="2" t="s">
        <v>30</v>
      </c>
      <c r="B40" s="13">
        <v>30.300000000000004</v>
      </c>
      <c r="C40" s="16">
        <f t="shared" si="0"/>
        <v>40.400000000000006</v>
      </c>
      <c r="D40" s="16">
        <f t="shared" si="1"/>
        <v>60.600000000000009</v>
      </c>
      <c r="E40" s="32">
        <f t="shared" si="2"/>
        <v>34.844999999999999</v>
      </c>
      <c r="F40" s="16">
        <f t="shared" si="4"/>
        <v>26.451900000000002</v>
      </c>
    </row>
    <row r="41" spans="1:6" s="17" customFormat="1" x14ac:dyDescent="0.25">
      <c r="A41" s="2" t="s">
        <v>31</v>
      </c>
      <c r="B41" s="13">
        <v>33.300000000000004</v>
      </c>
      <c r="C41" s="16">
        <f t="shared" si="0"/>
        <v>44.400000000000006</v>
      </c>
      <c r="D41" s="16">
        <f t="shared" si="1"/>
        <v>66.600000000000009</v>
      </c>
      <c r="E41" s="32">
        <f t="shared" si="2"/>
        <v>38.295000000000002</v>
      </c>
      <c r="F41" s="16">
        <f t="shared" si="4"/>
        <v>29.070900000000005</v>
      </c>
    </row>
    <row r="42" spans="1:6" s="17" customFormat="1" x14ac:dyDescent="0.25">
      <c r="A42" s="2" t="s">
        <v>32</v>
      </c>
      <c r="B42" s="13">
        <v>12.75</v>
      </c>
      <c r="C42" s="16">
        <f t="shared" si="0"/>
        <v>17</v>
      </c>
      <c r="D42" s="16">
        <f t="shared" si="1"/>
        <v>25.5</v>
      </c>
      <c r="E42" s="32">
        <f t="shared" si="2"/>
        <v>14.6625</v>
      </c>
      <c r="F42" s="16">
        <f t="shared" si="4"/>
        <v>11.130750000000001</v>
      </c>
    </row>
    <row r="43" spans="1:6" s="17" customFormat="1" x14ac:dyDescent="0.25">
      <c r="A43" s="2" t="s">
        <v>33</v>
      </c>
      <c r="B43" s="13">
        <v>197.55</v>
      </c>
      <c r="C43" s="16">
        <f t="shared" si="0"/>
        <v>263.40000000000003</v>
      </c>
      <c r="D43" s="16">
        <f t="shared" si="1"/>
        <v>395.1</v>
      </c>
      <c r="E43" s="32">
        <f t="shared" si="2"/>
        <v>227.1825</v>
      </c>
      <c r="F43" s="16">
        <f t="shared" si="4"/>
        <v>172.46115</v>
      </c>
    </row>
    <row r="44" spans="1:6" s="17" customFormat="1" x14ac:dyDescent="0.25">
      <c r="A44" s="2" t="s">
        <v>34</v>
      </c>
      <c r="B44" s="13">
        <v>211.20000000000002</v>
      </c>
      <c r="C44" s="16">
        <f t="shared" si="0"/>
        <v>281.60000000000002</v>
      </c>
      <c r="D44" s="16">
        <f t="shared" si="1"/>
        <v>422.40000000000003</v>
      </c>
      <c r="E44" s="32">
        <f t="shared" si="2"/>
        <v>242.88</v>
      </c>
      <c r="F44" s="16">
        <f t="shared" si="4"/>
        <v>184.3776</v>
      </c>
    </row>
    <row r="45" spans="1:6" s="17" customFormat="1" x14ac:dyDescent="0.25">
      <c r="A45" s="37" t="s">
        <v>396</v>
      </c>
      <c r="B45" s="38"/>
      <c r="C45" s="38"/>
      <c r="D45" s="38"/>
      <c r="E45" s="38"/>
      <c r="F45" s="39"/>
    </row>
    <row r="46" spans="1:6" s="17" customFormat="1" x14ac:dyDescent="0.25">
      <c r="A46" s="2" t="s">
        <v>35</v>
      </c>
      <c r="B46" s="13">
        <v>60.45</v>
      </c>
      <c r="C46" s="16">
        <f t="shared" si="0"/>
        <v>80.600000000000009</v>
      </c>
      <c r="D46" s="16">
        <f t="shared" si="1"/>
        <v>120.9</v>
      </c>
      <c r="E46" s="32">
        <f t="shared" si="2"/>
        <v>69.517499999999998</v>
      </c>
      <c r="F46" s="16">
        <f>B46*0.873</f>
        <v>52.772850000000005</v>
      </c>
    </row>
    <row r="47" spans="1:6" s="17" customFormat="1" x14ac:dyDescent="0.25">
      <c r="A47" s="2" t="s">
        <v>36</v>
      </c>
      <c r="B47" s="13">
        <v>77.25</v>
      </c>
      <c r="C47" s="16">
        <f t="shared" si="0"/>
        <v>103</v>
      </c>
      <c r="D47" s="16">
        <f t="shared" si="1"/>
        <v>154.5</v>
      </c>
      <c r="E47" s="32">
        <f t="shared" si="2"/>
        <v>88.837499999999991</v>
      </c>
      <c r="F47" s="16">
        <f t="shared" ref="F47:F79" si="5">B47*0.873</f>
        <v>67.439250000000001</v>
      </c>
    </row>
    <row r="48" spans="1:6" s="17" customFormat="1" x14ac:dyDescent="0.25">
      <c r="A48" s="2" t="s">
        <v>37</v>
      </c>
      <c r="B48" s="13">
        <v>111.44999999999999</v>
      </c>
      <c r="C48" s="16">
        <f t="shared" si="0"/>
        <v>148.6</v>
      </c>
      <c r="D48" s="16">
        <f t="shared" si="1"/>
        <v>222.89999999999998</v>
      </c>
      <c r="E48" s="32">
        <f t="shared" si="2"/>
        <v>128.16749999999999</v>
      </c>
      <c r="F48" s="16">
        <f t="shared" si="5"/>
        <v>97.295849999999987</v>
      </c>
    </row>
    <row r="49" spans="1:6" s="17" customFormat="1" x14ac:dyDescent="0.25">
      <c r="A49" s="2" t="s">
        <v>38</v>
      </c>
      <c r="B49" s="13">
        <v>32.25</v>
      </c>
      <c r="C49" s="16">
        <f t="shared" si="0"/>
        <v>43</v>
      </c>
      <c r="D49" s="16">
        <f t="shared" si="1"/>
        <v>64.5</v>
      </c>
      <c r="E49" s="32">
        <f t="shared" si="2"/>
        <v>37.087499999999999</v>
      </c>
      <c r="F49" s="16">
        <f t="shared" si="5"/>
        <v>28.154250000000001</v>
      </c>
    </row>
    <row r="50" spans="1:6" s="17" customFormat="1" x14ac:dyDescent="0.25">
      <c r="A50" s="2" t="s">
        <v>39</v>
      </c>
      <c r="B50" s="13">
        <v>35.25</v>
      </c>
      <c r="C50" s="16">
        <f t="shared" si="0"/>
        <v>47</v>
      </c>
      <c r="D50" s="16">
        <f t="shared" si="1"/>
        <v>70.5</v>
      </c>
      <c r="E50" s="32">
        <f t="shared" si="2"/>
        <v>40.537499999999994</v>
      </c>
      <c r="F50" s="16">
        <f t="shared" si="5"/>
        <v>30.773250000000001</v>
      </c>
    </row>
    <row r="51" spans="1:6" s="17" customFormat="1" x14ac:dyDescent="0.25">
      <c r="A51" s="2" t="s">
        <v>40</v>
      </c>
      <c r="B51" s="13">
        <v>41.25</v>
      </c>
      <c r="C51" s="16">
        <f t="shared" si="0"/>
        <v>55</v>
      </c>
      <c r="D51" s="16">
        <f t="shared" si="1"/>
        <v>82.5</v>
      </c>
      <c r="E51" s="32">
        <f t="shared" si="2"/>
        <v>47.437499999999993</v>
      </c>
      <c r="F51" s="16">
        <f t="shared" si="5"/>
        <v>36.011249999999997</v>
      </c>
    </row>
    <row r="52" spans="1:6" s="17" customFormat="1" x14ac:dyDescent="0.25">
      <c r="A52" s="2" t="s">
        <v>41</v>
      </c>
      <c r="B52" s="13">
        <v>49.050000000000004</v>
      </c>
      <c r="C52" s="16">
        <f t="shared" si="0"/>
        <v>65.400000000000006</v>
      </c>
      <c r="D52" s="16">
        <f t="shared" si="1"/>
        <v>98.100000000000009</v>
      </c>
      <c r="E52" s="32">
        <f t="shared" si="2"/>
        <v>56.407499999999999</v>
      </c>
      <c r="F52" s="16">
        <f t="shared" si="5"/>
        <v>42.820650000000001</v>
      </c>
    </row>
    <row r="53" spans="1:6" s="17" customFormat="1" x14ac:dyDescent="0.25">
      <c r="A53" s="2" t="s">
        <v>42</v>
      </c>
      <c r="B53" s="13">
        <v>52.2</v>
      </c>
      <c r="C53" s="16">
        <f t="shared" si="0"/>
        <v>69.600000000000009</v>
      </c>
      <c r="D53" s="16">
        <f t="shared" si="1"/>
        <v>104.4</v>
      </c>
      <c r="E53" s="32">
        <f t="shared" si="2"/>
        <v>60.03</v>
      </c>
      <c r="F53" s="16">
        <f t="shared" si="5"/>
        <v>45.570599999999999</v>
      </c>
    </row>
    <row r="54" spans="1:6" s="17" customFormat="1" x14ac:dyDescent="0.25">
      <c r="A54" s="2" t="s">
        <v>43</v>
      </c>
      <c r="B54" s="13">
        <v>73.5</v>
      </c>
      <c r="C54" s="16">
        <f t="shared" si="0"/>
        <v>98</v>
      </c>
      <c r="D54" s="16">
        <f t="shared" si="1"/>
        <v>147</v>
      </c>
      <c r="E54" s="32">
        <f t="shared" si="2"/>
        <v>84.524999999999991</v>
      </c>
      <c r="F54" s="16">
        <f t="shared" si="5"/>
        <v>64.165499999999994</v>
      </c>
    </row>
    <row r="55" spans="1:6" s="17" customFormat="1" x14ac:dyDescent="0.25">
      <c r="A55" s="2" t="s">
        <v>44</v>
      </c>
      <c r="B55" s="13">
        <v>91.050000000000011</v>
      </c>
      <c r="C55" s="16">
        <f t="shared" si="0"/>
        <v>121.40000000000002</v>
      </c>
      <c r="D55" s="16">
        <f t="shared" si="1"/>
        <v>182.10000000000002</v>
      </c>
      <c r="E55" s="32">
        <f t="shared" si="2"/>
        <v>104.70750000000001</v>
      </c>
      <c r="F55" s="16">
        <f t="shared" si="5"/>
        <v>79.486650000000012</v>
      </c>
    </row>
    <row r="56" spans="1:6" s="17" customFormat="1" x14ac:dyDescent="0.25">
      <c r="A56" s="2" t="s">
        <v>45</v>
      </c>
      <c r="B56" s="13">
        <v>158.25</v>
      </c>
      <c r="C56" s="16">
        <f t="shared" si="0"/>
        <v>211</v>
      </c>
      <c r="D56" s="16">
        <f t="shared" si="1"/>
        <v>316.5</v>
      </c>
      <c r="E56" s="32">
        <f t="shared" si="2"/>
        <v>181.98749999999998</v>
      </c>
      <c r="F56" s="16">
        <f t="shared" si="5"/>
        <v>138.15225000000001</v>
      </c>
    </row>
    <row r="57" spans="1:6" s="17" customFormat="1" x14ac:dyDescent="0.25">
      <c r="A57" s="2" t="s">
        <v>46</v>
      </c>
      <c r="B57" s="13">
        <v>77.550000000000011</v>
      </c>
      <c r="C57" s="16">
        <f t="shared" si="0"/>
        <v>103.40000000000002</v>
      </c>
      <c r="D57" s="16">
        <f t="shared" si="1"/>
        <v>155.10000000000002</v>
      </c>
      <c r="E57" s="32">
        <f t="shared" si="2"/>
        <v>89.182500000000005</v>
      </c>
      <c r="F57" s="16">
        <f t="shared" si="5"/>
        <v>67.701150000000013</v>
      </c>
    </row>
    <row r="58" spans="1:6" s="17" customFormat="1" x14ac:dyDescent="0.25">
      <c r="A58" s="2" t="s">
        <v>47</v>
      </c>
      <c r="B58" s="13">
        <v>86.7</v>
      </c>
      <c r="C58" s="16">
        <f t="shared" si="0"/>
        <v>115.60000000000001</v>
      </c>
      <c r="D58" s="16">
        <f t="shared" si="1"/>
        <v>173.4</v>
      </c>
      <c r="E58" s="32">
        <f t="shared" si="2"/>
        <v>99.704999999999998</v>
      </c>
      <c r="F58" s="16">
        <f t="shared" si="5"/>
        <v>75.689099999999996</v>
      </c>
    </row>
    <row r="59" spans="1:6" s="17" customFormat="1" x14ac:dyDescent="0.25">
      <c r="A59" s="2" t="s">
        <v>48</v>
      </c>
      <c r="B59" s="13">
        <v>92.7</v>
      </c>
      <c r="C59" s="16">
        <f t="shared" si="0"/>
        <v>123.60000000000001</v>
      </c>
      <c r="D59" s="16">
        <f t="shared" si="1"/>
        <v>185.4</v>
      </c>
      <c r="E59" s="32">
        <f t="shared" si="2"/>
        <v>106.60499999999999</v>
      </c>
      <c r="F59" s="16">
        <f t="shared" si="5"/>
        <v>80.927099999999996</v>
      </c>
    </row>
    <row r="60" spans="1:6" s="17" customFormat="1" x14ac:dyDescent="0.25">
      <c r="A60" s="2" t="s">
        <v>49</v>
      </c>
      <c r="B60" s="13">
        <v>109.65</v>
      </c>
      <c r="C60" s="16">
        <f t="shared" si="0"/>
        <v>146.20000000000002</v>
      </c>
      <c r="D60" s="16">
        <f t="shared" si="1"/>
        <v>219.3</v>
      </c>
      <c r="E60" s="32">
        <f t="shared" si="2"/>
        <v>126.0975</v>
      </c>
      <c r="F60" s="16">
        <f t="shared" si="5"/>
        <v>95.724450000000004</v>
      </c>
    </row>
    <row r="61" spans="1:6" s="17" customFormat="1" x14ac:dyDescent="0.25">
      <c r="A61" s="2" t="s">
        <v>50</v>
      </c>
      <c r="B61" s="13">
        <v>66.75</v>
      </c>
      <c r="C61" s="16">
        <f t="shared" si="0"/>
        <v>89</v>
      </c>
      <c r="D61" s="16">
        <f t="shared" si="1"/>
        <v>133.5</v>
      </c>
      <c r="E61" s="32">
        <f t="shared" si="2"/>
        <v>76.762499999999989</v>
      </c>
      <c r="F61" s="16">
        <f t="shared" si="5"/>
        <v>58.272750000000002</v>
      </c>
    </row>
    <row r="62" spans="1:6" s="17" customFormat="1" x14ac:dyDescent="0.25">
      <c r="A62" s="2" t="s">
        <v>51</v>
      </c>
      <c r="B62" s="13">
        <v>91.800000000000011</v>
      </c>
      <c r="C62" s="16">
        <f t="shared" si="0"/>
        <v>122.40000000000002</v>
      </c>
      <c r="D62" s="16">
        <f t="shared" si="1"/>
        <v>183.60000000000002</v>
      </c>
      <c r="E62" s="32">
        <f t="shared" si="2"/>
        <v>105.57000000000001</v>
      </c>
      <c r="F62" s="16">
        <f t="shared" si="5"/>
        <v>80.141400000000004</v>
      </c>
    </row>
    <row r="63" spans="1:6" s="17" customFormat="1" x14ac:dyDescent="0.25">
      <c r="A63" s="2" t="s">
        <v>52</v>
      </c>
      <c r="B63" s="13">
        <v>74.850000000000009</v>
      </c>
      <c r="C63" s="16">
        <f t="shared" si="0"/>
        <v>99.800000000000011</v>
      </c>
      <c r="D63" s="16">
        <f t="shared" si="1"/>
        <v>149.70000000000002</v>
      </c>
      <c r="E63" s="32">
        <f t="shared" si="2"/>
        <v>86.077500000000001</v>
      </c>
      <c r="F63" s="16">
        <f t="shared" si="5"/>
        <v>65.34405000000001</v>
      </c>
    </row>
    <row r="64" spans="1:6" s="17" customFormat="1" x14ac:dyDescent="0.25">
      <c r="A64" s="2" t="s">
        <v>53</v>
      </c>
      <c r="B64" s="13">
        <v>78.150000000000006</v>
      </c>
      <c r="C64" s="16">
        <f t="shared" si="0"/>
        <v>104.2</v>
      </c>
      <c r="D64" s="16">
        <f t="shared" si="1"/>
        <v>156.30000000000001</v>
      </c>
      <c r="E64" s="32">
        <f t="shared" si="2"/>
        <v>89.872500000000002</v>
      </c>
      <c r="F64" s="16">
        <f t="shared" si="5"/>
        <v>68.224950000000007</v>
      </c>
    </row>
    <row r="65" spans="1:6" s="17" customFormat="1" x14ac:dyDescent="0.25">
      <c r="A65" s="2" t="s">
        <v>54</v>
      </c>
      <c r="B65" s="13">
        <v>98.25</v>
      </c>
      <c r="C65" s="16">
        <f t="shared" si="0"/>
        <v>131</v>
      </c>
      <c r="D65" s="16">
        <f t="shared" si="1"/>
        <v>196.5</v>
      </c>
      <c r="E65" s="32">
        <f t="shared" si="2"/>
        <v>112.9875</v>
      </c>
      <c r="F65" s="16">
        <f t="shared" si="5"/>
        <v>85.77225</v>
      </c>
    </row>
    <row r="66" spans="1:6" s="17" customFormat="1" x14ac:dyDescent="0.25">
      <c r="A66" s="2" t="s">
        <v>55</v>
      </c>
      <c r="B66" s="13">
        <v>99</v>
      </c>
      <c r="C66" s="16">
        <f t="shared" si="0"/>
        <v>132</v>
      </c>
      <c r="D66" s="16">
        <f t="shared" si="1"/>
        <v>198</v>
      </c>
      <c r="E66" s="32">
        <f t="shared" si="2"/>
        <v>113.85</v>
      </c>
      <c r="F66" s="16">
        <f t="shared" si="5"/>
        <v>86.427000000000007</v>
      </c>
    </row>
    <row r="67" spans="1:6" s="17" customFormat="1" x14ac:dyDescent="0.25">
      <c r="A67" s="2" t="s">
        <v>56</v>
      </c>
      <c r="B67" s="13">
        <v>145.5</v>
      </c>
      <c r="C67" s="16">
        <f t="shared" si="0"/>
        <v>194</v>
      </c>
      <c r="D67" s="16">
        <f t="shared" si="1"/>
        <v>291</v>
      </c>
      <c r="E67" s="32">
        <f t="shared" si="2"/>
        <v>167.32499999999999</v>
      </c>
      <c r="F67" s="16">
        <f t="shared" si="5"/>
        <v>127.0215</v>
      </c>
    </row>
    <row r="68" spans="1:6" s="17" customFormat="1" x14ac:dyDescent="0.25">
      <c r="A68" s="2" t="s">
        <v>57</v>
      </c>
      <c r="B68" s="13">
        <v>178.05</v>
      </c>
      <c r="C68" s="16">
        <f t="shared" si="0"/>
        <v>237.4</v>
      </c>
      <c r="D68" s="16">
        <f t="shared" si="1"/>
        <v>356.1</v>
      </c>
      <c r="E68" s="32">
        <f t="shared" si="2"/>
        <v>204.75749999999999</v>
      </c>
      <c r="F68" s="16">
        <f t="shared" si="5"/>
        <v>155.43765000000002</v>
      </c>
    </row>
    <row r="69" spans="1:6" s="17" customFormat="1" x14ac:dyDescent="0.25">
      <c r="A69" s="2" t="s">
        <v>58</v>
      </c>
      <c r="B69" s="13">
        <v>208.20000000000002</v>
      </c>
      <c r="C69" s="16">
        <f t="shared" si="0"/>
        <v>277.60000000000002</v>
      </c>
      <c r="D69" s="16">
        <f t="shared" si="1"/>
        <v>416.40000000000003</v>
      </c>
      <c r="E69" s="32">
        <f t="shared" si="2"/>
        <v>239.43</v>
      </c>
      <c r="F69" s="16">
        <f t="shared" si="5"/>
        <v>181.7586</v>
      </c>
    </row>
    <row r="70" spans="1:6" s="17" customFormat="1" x14ac:dyDescent="0.25">
      <c r="A70" s="2" t="s">
        <v>59</v>
      </c>
      <c r="B70" s="13">
        <v>88.800000000000011</v>
      </c>
      <c r="C70" s="16">
        <f t="shared" si="0"/>
        <v>118.40000000000002</v>
      </c>
      <c r="D70" s="16">
        <f t="shared" si="1"/>
        <v>177.60000000000002</v>
      </c>
      <c r="E70" s="32">
        <f t="shared" ref="E70:E134" si="6">B70*1.15</f>
        <v>102.12</v>
      </c>
      <c r="F70" s="16">
        <f t="shared" si="5"/>
        <v>77.522400000000005</v>
      </c>
    </row>
    <row r="71" spans="1:6" s="17" customFormat="1" x14ac:dyDescent="0.25">
      <c r="A71" s="2" t="s">
        <v>60</v>
      </c>
      <c r="B71" s="13">
        <v>100.05000000000001</v>
      </c>
      <c r="C71" s="16">
        <f t="shared" ref="C71:C136" si="7">B71/0.75</f>
        <v>133.4</v>
      </c>
      <c r="D71" s="16">
        <f t="shared" ref="D71:D136" si="8">B71*2</f>
        <v>200.10000000000002</v>
      </c>
      <c r="E71" s="32">
        <f t="shared" si="6"/>
        <v>115.0575</v>
      </c>
      <c r="F71" s="16">
        <f t="shared" si="5"/>
        <v>87.343650000000011</v>
      </c>
    </row>
    <row r="72" spans="1:6" s="17" customFormat="1" x14ac:dyDescent="0.25">
      <c r="A72" s="2" t="s">
        <v>61</v>
      </c>
      <c r="B72" s="13">
        <v>118.65</v>
      </c>
      <c r="C72" s="16">
        <f t="shared" si="7"/>
        <v>158.20000000000002</v>
      </c>
      <c r="D72" s="16">
        <f t="shared" si="8"/>
        <v>237.3</v>
      </c>
      <c r="E72" s="32">
        <f t="shared" si="6"/>
        <v>136.44749999999999</v>
      </c>
      <c r="F72" s="16">
        <f t="shared" si="5"/>
        <v>103.58145</v>
      </c>
    </row>
    <row r="73" spans="1:6" s="17" customFormat="1" x14ac:dyDescent="0.25">
      <c r="A73" s="2" t="s">
        <v>62</v>
      </c>
      <c r="B73" s="13">
        <v>172.65</v>
      </c>
      <c r="C73" s="16">
        <f t="shared" si="7"/>
        <v>230.20000000000002</v>
      </c>
      <c r="D73" s="16">
        <f t="shared" si="8"/>
        <v>345.3</v>
      </c>
      <c r="E73" s="32">
        <f t="shared" si="6"/>
        <v>198.54749999999999</v>
      </c>
      <c r="F73" s="16">
        <f t="shared" si="5"/>
        <v>150.72345000000001</v>
      </c>
    </row>
    <row r="74" spans="1:6" s="17" customFormat="1" x14ac:dyDescent="0.25">
      <c r="A74" s="2" t="s">
        <v>63</v>
      </c>
      <c r="B74" s="13">
        <v>182.70000000000002</v>
      </c>
      <c r="C74" s="16">
        <f t="shared" si="7"/>
        <v>243.60000000000002</v>
      </c>
      <c r="D74" s="16">
        <f t="shared" si="8"/>
        <v>365.40000000000003</v>
      </c>
      <c r="E74" s="32">
        <f t="shared" si="6"/>
        <v>210.10499999999999</v>
      </c>
      <c r="F74" s="16">
        <f t="shared" si="5"/>
        <v>159.49710000000002</v>
      </c>
    </row>
    <row r="75" spans="1:6" s="17" customFormat="1" x14ac:dyDescent="0.25">
      <c r="A75" s="2" t="s">
        <v>64</v>
      </c>
      <c r="B75" s="13">
        <v>208.20000000000002</v>
      </c>
      <c r="C75" s="16">
        <f t="shared" si="7"/>
        <v>277.60000000000002</v>
      </c>
      <c r="D75" s="16">
        <f t="shared" si="8"/>
        <v>416.40000000000003</v>
      </c>
      <c r="E75" s="32">
        <f t="shared" si="6"/>
        <v>239.43</v>
      </c>
      <c r="F75" s="16">
        <f t="shared" si="5"/>
        <v>181.7586</v>
      </c>
    </row>
    <row r="76" spans="1:6" s="17" customFormat="1" x14ac:dyDescent="0.25">
      <c r="A76" s="2" t="s">
        <v>65</v>
      </c>
      <c r="B76" s="13">
        <v>125.70000000000002</v>
      </c>
      <c r="C76" s="16">
        <f t="shared" si="7"/>
        <v>167.60000000000002</v>
      </c>
      <c r="D76" s="16">
        <f t="shared" si="8"/>
        <v>251.40000000000003</v>
      </c>
      <c r="E76" s="32">
        <f t="shared" si="6"/>
        <v>144.55500000000001</v>
      </c>
      <c r="F76" s="16">
        <f t="shared" si="5"/>
        <v>109.73610000000002</v>
      </c>
    </row>
    <row r="77" spans="1:6" s="17" customFormat="1" x14ac:dyDescent="0.25">
      <c r="A77" s="2" t="s">
        <v>66</v>
      </c>
      <c r="B77" s="13">
        <v>160.5</v>
      </c>
      <c r="C77" s="16">
        <f t="shared" si="7"/>
        <v>214</v>
      </c>
      <c r="D77" s="16">
        <f t="shared" si="8"/>
        <v>321</v>
      </c>
      <c r="E77" s="32">
        <f t="shared" si="6"/>
        <v>184.57499999999999</v>
      </c>
      <c r="F77" s="16">
        <f t="shared" si="5"/>
        <v>140.1165</v>
      </c>
    </row>
    <row r="78" spans="1:6" s="17" customFormat="1" x14ac:dyDescent="0.25">
      <c r="A78" s="2" t="s">
        <v>67</v>
      </c>
      <c r="B78" s="13">
        <v>206.39999999999998</v>
      </c>
      <c r="C78" s="16">
        <f t="shared" si="7"/>
        <v>275.2</v>
      </c>
      <c r="D78" s="16">
        <f t="shared" si="8"/>
        <v>412.79999999999995</v>
      </c>
      <c r="E78" s="32">
        <f t="shared" si="6"/>
        <v>237.35999999999996</v>
      </c>
      <c r="F78" s="16">
        <f t="shared" si="5"/>
        <v>180.18719999999999</v>
      </c>
    </row>
    <row r="79" spans="1:6" s="17" customFormat="1" x14ac:dyDescent="0.25">
      <c r="A79" s="2" t="s">
        <v>68</v>
      </c>
      <c r="B79" s="13">
        <v>98.550000000000011</v>
      </c>
      <c r="C79" s="16">
        <f t="shared" si="7"/>
        <v>131.4</v>
      </c>
      <c r="D79" s="16">
        <f t="shared" si="8"/>
        <v>197.10000000000002</v>
      </c>
      <c r="E79" s="32">
        <f t="shared" si="6"/>
        <v>113.33250000000001</v>
      </c>
      <c r="F79" s="16">
        <f t="shared" si="5"/>
        <v>86.034150000000011</v>
      </c>
    </row>
    <row r="80" spans="1:6" s="17" customFormat="1" x14ac:dyDescent="0.25">
      <c r="A80" s="37" t="s">
        <v>395</v>
      </c>
      <c r="B80" s="38"/>
      <c r="C80" s="38"/>
      <c r="D80" s="38"/>
      <c r="E80" s="38"/>
      <c r="F80" s="39"/>
    </row>
    <row r="81" spans="1:6" s="17" customFormat="1" x14ac:dyDescent="0.25">
      <c r="A81" s="2" t="s">
        <v>69</v>
      </c>
      <c r="B81" s="13">
        <v>0.60000000000000009</v>
      </c>
      <c r="C81" s="16">
        <f t="shared" si="7"/>
        <v>0.80000000000000016</v>
      </c>
      <c r="D81" s="16">
        <f t="shared" si="8"/>
        <v>1.2000000000000002</v>
      </c>
      <c r="E81" s="32">
        <f t="shared" si="6"/>
        <v>0.69000000000000006</v>
      </c>
      <c r="F81" s="16">
        <f>B81*0.873</f>
        <v>0.52380000000000004</v>
      </c>
    </row>
    <row r="82" spans="1:6" s="17" customFormat="1" x14ac:dyDescent="0.25">
      <c r="A82" s="2" t="s">
        <v>70</v>
      </c>
      <c r="B82" s="13">
        <v>20.100000000000001</v>
      </c>
      <c r="C82" s="16">
        <f t="shared" si="7"/>
        <v>26.8</v>
      </c>
      <c r="D82" s="16">
        <f t="shared" si="8"/>
        <v>40.200000000000003</v>
      </c>
      <c r="E82" s="32">
        <f t="shared" si="6"/>
        <v>23.114999999999998</v>
      </c>
      <c r="F82" s="16">
        <f t="shared" ref="F82:F145" si="9">B82*0.873</f>
        <v>17.5473</v>
      </c>
    </row>
    <row r="83" spans="1:6" s="17" customFormat="1" x14ac:dyDescent="0.25">
      <c r="A83" s="2" t="s">
        <v>71</v>
      </c>
      <c r="B83" s="13">
        <v>21.75</v>
      </c>
      <c r="C83" s="16">
        <f t="shared" si="7"/>
        <v>29</v>
      </c>
      <c r="D83" s="16">
        <f t="shared" si="8"/>
        <v>43.5</v>
      </c>
      <c r="E83" s="32">
        <f t="shared" si="6"/>
        <v>25.012499999999999</v>
      </c>
      <c r="F83" s="16">
        <f t="shared" si="9"/>
        <v>18.987749999999998</v>
      </c>
    </row>
    <row r="84" spans="1:6" s="17" customFormat="1" x14ac:dyDescent="0.25">
      <c r="A84" s="2" t="s">
        <v>72</v>
      </c>
      <c r="B84" s="13">
        <v>21.75</v>
      </c>
      <c r="C84" s="16">
        <f t="shared" si="7"/>
        <v>29</v>
      </c>
      <c r="D84" s="16">
        <f t="shared" si="8"/>
        <v>43.5</v>
      </c>
      <c r="E84" s="32">
        <f t="shared" si="6"/>
        <v>25.012499999999999</v>
      </c>
      <c r="F84" s="16">
        <f t="shared" si="9"/>
        <v>18.987749999999998</v>
      </c>
    </row>
    <row r="85" spans="1:6" s="17" customFormat="1" x14ac:dyDescent="0.25">
      <c r="A85" s="2" t="s">
        <v>73</v>
      </c>
      <c r="B85" s="13">
        <v>25.200000000000003</v>
      </c>
      <c r="C85" s="16">
        <f t="shared" si="7"/>
        <v>33.6</v>
      </c>
      <c r="D85" s="16">
        <f t="shared" si="8"/>
        <v>50.400000000000006</v>
      </c>
      <c r="E85" s="32">
        <f t="shared" si="6"/>
        <v>28.98</v>
      </c>
      <c r="F85" s="16">
        <f t="shared" si="9"/>
        <v>21.999600000000001</v>
      </c>
    </row>
    <row r="86" spans="1:6" s="17" customFormat="1" x14ac:dyDescent="0.25">
      <c r="A86" s="2" t="s">
        <v>74</v>
      </c>
      <c r="B86" s="13">
        <v>29.400000000000002</v>
      </c>
      <c r="C86" s="16">
        <f t="shared" si="7"/>
        <v>39.200000000000003</v>
      </c>
      <c r="D86" s="16">
        <f t="shared" si="8"/>
        <v>58.800000000000004</v>
      </c>
      <c r="E86" s="32">
        <f t="shared" si="6"/>
        <v>33.81</v>
      </c>
      <c r="F86" s="16">
        <f t="shared" si="9"/>
        <v>25.666200000000003</v>
      </c>
    </row>
    <row r="87" spans="1:6" s="17" customFormat="1" x14ac:dyDescent="0.25">
      <c r="A87" s="2" t="s">
        <v>75</v>
      </c>
      <c r="B87" s="13">
        <v>34.5</v>
      </c>
      <c r="C87" s="16">
        <f t="shared" si="7"/>
        <v>46</v>
      </c>
      <c r="D87" s="16">
        <f t="shared" si="8"/>
        <v>69</v>
      </c>
      <c r="E87" s="32">
        <f t="shared" si="6"/>
        <v>39.674999999999997</v>
      </c>
      <c r="F87" s="16">
        <f t="shared" si="9"/>
        <v>30.118500000000001</v>
      </c>
    </row>
    <row r="88" spans="1:6" s="17" customFormat="1" x14ac:dyDescent="0.25">
      <c r="A88" s="2" t="s">
        <v>76</v>
      </c>
      <c r="B88" s="13">
        <v>11.55</v>
      </c>
      <c r="C88" s="16">
        <f t="shared" si="7"/>
        <v>15.4</v>
      </c>
      <c r="D88" s="16">
        <f t="shared" si="8"/>
        <v>23.1</v>
      </c>
      <c r="E88" s="32">
        <f t="shared" si="6"/>
        <v>13.282500000000001</v>
      </c>
      <c r="F88" s="16">
        <f t="shared" si="9"/>
        <v>10.08315</v>
      </c>
    </row>
    <row r="89" spans="1:6" s="17" customFormat="1" x14ac:dyDescent="0.25">
      <c r="A89" s="2" t="s">
        <v>77</v>
      </c>
      <c r="B89" s="13">
        <v>12.149999999999999</v>
      </c>
      <c r="C89" s="16">
        <f t="shared" si="7"/>
        <v>16.2</v>
      </c>
      <c r="D89" s="16">
        <f t="shared" si="8"/>
        <v>24.299999999999997</v>
      </c>
      <c r="E89" s="32">
        <f t="shared" si="6"/>
        <v>13.972499999999997</v>
      </c>
      <c r="F89" s="16">
        <f t="shared" si="9"/>
        <v>10.606949999999999</v>
      </c>
    </row>
    <row r="90" spans="1:6" s="17" customFormat="1" x14ac:dyDescent="0.25">
      <c r="A90" s="2" t="s">
        <v>78</v>
      </c>
      <c r="B90" s="13">
        <v>5.1000000000000005</v>
      </c>
      <c r="C90" s="16">
        <f t="shared" si="7"/>
        <v>6.8000000000000007</v>
      </c>
      <c r="D90" s="16">
        <f t="shared" si="8"/>
        <v>10.200000000000001</v>
      </c>
      <c r="E90" s="32">
        <f t="shared" si="6"/>
        <v>5.8650000000000002</v>
      </c>
      <c r="F90" s="16">
        <f t="shared" si="9"/>
        <v>4.4523000000000001</v>
      </c>
    </row>
    <row r="91" spans="1:6" s="17" customFormat="1" x14ac:dyDescent="0.25">
      <c r="A91" s="2" t="s">
        <v>79</v>
      </c>
      <c r="B91" s="13">
        <v>21.6</v>
      </c>
      <c r="C91" s="16">
        <f t="shared" si="7"/>
        <v>28.8</v>
      </c>
      <c r="D91" s="16">
        <f t="shared" si="8"/>
        <v>43.2</v>
      </c>
      <c r="E91" s="32">
        <f t="shared" si="6"/>
        <v>24.84</v>
      </c>
      <c r="F91" s="16">
        <f t="shared" si="9"/>
        <v>18.8568</v>
      </c>
    </row>
    <row r="92" spans="1:6" s="17" customFormat="1" x14ac:dyDescent="0.25">
      <c r="A92" s="2" t="s">
        <v>80</v>
      </c>
      <c r="B92" s="13">
        <v>44.550000000000004</v>
      </c>
      <c r="C92" s="16">
        <f t="shared" si="7"/>
        <v>59.400000000000006</v>
      </c>
      <c r="D92" s="16">
        <f t="shared" si="8"/>
        <v>89.100000000000009</v>
      </c>
      <c r="E92" s="32">
        <f t="shared" si="6"/>
        <v>51.232500000000002</v>
      </c>
      <c r="F92" s="16">
        <f t="shared" si="9"/>
        <v>38.892150000000001</v>
      </c>
    </row>
    <row r="93" spans="1:6" s="17" customFormat="1" x14ac:dyDescent="0.25">
      <c r="A93" s="2" t="s">
        <v>81</v>
      </c>
      <c r="B93" s="13">
        <v>63.900000000000006</v>
      </c>
      <c r="C93" s="16">
        <f t="shared" si="7"/>
        <v>85.2</v>
      </c>
      <c r="D93" s="16">
        <f t="shared" si="8"/>
        <v>127.80000000000001</v>
      </c>
      <c r="E93" s="32">
        <f t="shared" si="6"/>
        <v>73.484999999999999</v>
      </c>
      <c r="F93" s="16">
        <f t="shared" si="9"/>
        <v>55.784700000000008</v>
      </c>
    </row>
    <row r="94" spans="1:6" s="17" customFormat="1" x14ac:dyDescent="0.25">
      <c r="A94" s="2" t="s">
        <v>82</v>
      </c>
      <c r="B94" s="13">
        <v>142.20000000000002</v>
      </c>
      <c r="C94" s="16">
        <f t="shared" si="7"/>
        <v>189.60000000000002</v>
      </c>
      <c r="D94" s="16">
        <f t="shared" si="8"/>
        <v>284.40000000000003</v>
      </c>
      <c r="E94" s="32">
        <f t="shared" si="6"/>
        <v>163.53</v>
      </c>
      <c r="F94" s="16">
        <f t="shared" si="9"/>
        <v>124.14060000000002</v>
      </c>
    </row>
    <row r="95" spans="1:6" s="17" customFormat="1" x14ac:dyDescent="0.25">
      <c r="A95" s="2" t="s">
        <v>83</v>
      </c>
      <c r="B95" s="13">
        <v>260.25</v>
      </c>
      <c r="C95" s="16">
        <f t="shared" si="7"/>
        <v>347</v>
      </c>
      <c r="D95" s="16">
        <f t="shared" si="8"/>
        <v>520.5</v>
      </c>
      <c r="E95" s="32">
        <f t="shared" si="6"/>
        <v>299.28749999999997</v>
      </c>
      <c r="F95" s="16">
        <f t="shared" si="9"/>
        <v>227.19825</v>
      </c>
    </row>
    <row r="96" spans="1:6" s="17" customFormat="1" x14ac:dyDescent="0.25">
      <c r="A96" s="2" t="s">
        <v>84</v>
      </c>
      <c r="B96" s="13">
        <v>167.10000000000002</v>
      </c>
      <c r="C96" s="16">
        <f t="shared" si="7"/>
        <v>222.80000000000004</v>
      </c>
      <c r="D96" s="16">
        <f t="shared" si="8"/>
        <v>334.20000000000005</v>
      </c>
      <c r="E96" s="32">
        <f t="shared" si="6"/>
        <v>192.16500000000002</v>
      </c>
      <c r="F96" s="16">
        <f t="shared" si="9"/>
        <v>145.87830000000002</v>
      </c>
    </row>
    <row r="97" spans="1:6" s="17" customFormat="1" x14ac:dyDescent="0.25">
      <c r="A97" s="2" t="s">
        <v>85</v>
      </c>
      <c r="B97" s="13">
        <v>232.95000000000002</v>
      </c>
      <c r="C97" s="16">
        <f t="shared" si="7"/>
        <v>310.60000000000002</v>
      </c>
      <c r="D97" s="16">
        <f t="shared" si="8"/>
        <v>465.90000000000003</v>
      </c>
      <c r="E97" s="32">
        <f t="shared" si="6"/>
        <v>267.89249999999998</v>
      </c>
      <c r="F97" s="16">
        <f t="shared" si="9"/>
        <v>203.36535000000001</v>
      </c>
    </row>
    <row r="98" spans="1:6" s="17" customFormat="1" x14ac:dyDescent="0.25">
      <c r="A98" s="2" t="s">
        <v>86</v>
      </c>
      <c r="B98" s="13">
        <v>267.15000000000003</v>
      </c>
      <c r="C98" s="16">
        <f t="shared" si="7"/>
        <v>356.20000000000005</v>
      </c>
      <c r="D98" s="16">
        <f t="shared" si="8"/>
        <v>534.30000000000007</v>
      </c>
      <c r="E98" s="32">
        <f t="shared" si="6"/>
        <v>307.22250000000003</v>
      </c>
      <c r="F98" s="16">
        <f t="shared" si="9"/>
        <v>233.22195000000002</v>
      </c>
    </row>
    <row r="99" spans="1:6" s="17" customFormat="1" x14ac:dyDescent="0.25">
      <c r="A99" s="2" t="s">
        <v>87</v>
      </c>
      <c r="B99" s="13">
        <v>47.25</v>
      </c>
      <c r="C99" s="16">
        <f t="shared" si="7"/>
        <v>63</v>
      </c>
      <c r="D99" s="16">
        <f t="shared" si="8"/>
        <v>94.5</v>
      </c>
      <c r="E99" s="32">
        <f t="shared" si="6"/>
        <v>54.337499999999999</v>
      </c>
      <c r="F99" s="16">
        <f t="shared" si="9"/>
        <v>41.249249999999996</v>
      </c>
    </row>
    <row r="100" spans="1:6" s="17" customFormat="1" x14ac:dyDescent="0.25">
      <c r="A100" s="2" t="s">
        <v>88</v>
      </c>
      <c r="B100" s="13">
        <v>8.5500000000000007</v>
      </c>
      <c r="C100" s="16">
        <f t="shared" si="7"/>
        <v>11.4</v>
      </c>
      <c r="D100" s="16">
        <f t="shared" si="8"/>
        <v>17.100000000000001</v>
      </c>
      <c r="E100" s="32">
        <f t="shared" si="6"/>
        <v>9.8324999999999996</v>
      </c>
      <c r="F100" s="16">
        <f t="shared" si="9"/>
        <v>7.464150000000001</v>
      </c>
    </row>
    <row r="101" spans="1:6" s="17" customFormat="1" x14ac:dyDescent="0.25">
      <c r="A101" s="2" t="s">
        <v>89</v>
      </c>
      <c r="B101" s="13">
        <v>216.75</v>
      </c>
      <c r="C101" s="16">
        <f t="shared" si="7"/>
        <v>289</v>
      </c>
      <c r="D101" s="16">
        <f t="shared" si="8"/>
        <v>433.5</v>
      </c>
      <c r="E101" s="32">
        <f t="shared" si="6"/>
        <v>249.26249999999999</v>
      </c>
      <c r="F101" s="16">
        <f t="shared" si="9"/>
        <v>189.22274999999999</v>
      </c>
    </row>
    <row r="102" spans="1:6" s="17" customFormat="1" x14ac:dyDescent="0.25">
      <c r="A102" s="2" t="s">
        <v>90</v>
      </c>
      <c r="B102" s="13">
        <v>783.90000000000009</v>
      </c>
      <c r="C102" s="16">
        <f t="shared" si="7"/>
        <v>1045.2</v>
      </c>
      <c r="D102" s="16">
        <f t="shared" si="8"/>
        <v>1567.8000000000002</v>
      </c>
      <c r="E102" s="32">
        <f t="shared" si="6"/>
        <v>901.48500000000001</v>
      </c>
      <c r="F102" s="16">
        <f t="shared" si="9"/>
        <v>684.3447000000001</v>
      </c>
    </row>
    <row r="103" spans="1:6" s="17" customFormat="1" x14ac:dyDescent="0.25">
      <c r="A103" s="2" t="s">
        <v>91</v>
      </c>
      <c r="B103" s="13">
        <v>22.950000000000003</v>
      </c>
      <c r="C103" s="16">
        <f t="shared" si="7"/>
        <v>30.600000000000005</v>
      </c>
      <c r="D103" s="16">
        <f t="shared" si="8"/>
        <v>45.900000000000006</v>
      </c>
      <c r="E103" s="32">
        <f t="shared" si="6"/>
        <v>26.392500000000002</v>
      </c>
      <c r="F103" s="16">
        <f t="shared" si="9"/>
        <v>20.035350000000001</v>
      </c>
    </row>
    <row r="104" spans="1:6" s="17" customFormat="1" x14ac:dyDescent="0.25">
      <c r="A104" s="2" t="s">
        <v>92</v>
      </c>
      <c r="B104" s="13">
        <v>71.7</v>
      </c>
      <c r="C104" s="16">
        <f t="shared" si="7"/>
        <v>95.600000000000009</v>
      </c>
      <c r="D104" s="16">
        <f t="shared" si="8"/>
        <v>143.4</v>
      </c>
      <c r="E104" s="32">
        <f t="shared" si="6"/>
        <v>82.454999999999998</v>
      </c>
      <c r="F104" s="16">
        <f t="shared" si="9"/>
        <v>62.594100000000005</v>
      </c>
    </row>
    <row r="105" spans="1:6" s="17" customFormat="1" x14ac:dyDescent="0.25">
      <c r="A105" s="2" t="s">
        <v>93</v>
      </c>
      <c r="B105" s="13">
        <v>33</v>
      </c>
      <c r="C105" s="16">
        <f t="shared" si="7"/>
        <v>44</v>
      </c>
      <c r="D105" s="16">
        <f t="shared" si="8"/>
        <v>66</v>
      </c>
      <c r="E105" s="32">
        <f t="shared" si="6"/>
        <v>37.949999999999996</v>
      </c>
      <c r="F105" s="16">
        <f t="shared" si="9"/>
        <v>28.809000000000001</v>
      </c>
    </row>
    <row r="106" spans="1:6" s="17" customFormat="1" x14ac:dyDescent="0.25">
      <c r="A106" s="2" t="s">
        <v>94</v>
      </c>
      <c r="B106" s="13">
        <v>18.150000000000002</v>
      </c>
      <c r="C106" s="16">
        <f t="shared" si="7"/>
        <v>24.200000000000003</v>
      </c>
      <c r="D106" s="16">
        <f t="shared" si="8"/>
        <v>36.300000000000004</v>
      </c>
      <c r="E106" s="32">
        <f t="shared" si="6"/>
        <v>20.872500000000002</v>
      </c>
      <c r="F106" s="16">
        <f t="shared" si="9"/>
        <v>15.844950000000003</v>
      </c>
    </row>
    <row r="107" spans="1:6" s="17" customFormat="1" x14ac:dyDescent="0.25">
      <c r="A107" s="2" t="s">
        <v>95</v>
      </c>
      <c r="B107" s="13">
        <v>37.200000000000003</v>
      </c>
      <c r="C107" s="16">
        <f t="shared" si="7"/>
        <v>49.6</v>
      </c>
      <c r="D107" s="16">
        <f t="shared" si="8"/>
        <v>74.400000000000006</v>
      </c>
      <c r="E107" s="32">
        <f t="shared" si="6"/>
        <v>42.78</v>
      </c>
      <c r="F107" s="16">
        <f t="shared" si="9"/>
        <v>32.4756</v>
      </c>
    </row>
    <row r="108" spans="1:6" s="17" customFormat="1" x14ac:dyDescent="0.25">
      <c r="A108" s="2" t="s">
        <v>96</v>
      </c>
      <c r="B108" s="13">
        <v>37.800000000000004</v>
      </c>
      <c r="C108" s="16">
        <f t="shared" si="7"/>
        <v>50.400000000000006</v>
      </c>
      <c r="D108" s="16">
        <f t="shared" si="8"/>
        <v>75.600000000000009</v>
      </c>
      <c r="E108" s="32">
        <f t="shared" si="6"/>
        <v>43.47</v>
      </c>
      <c r="F108" s="16">
        <f t="shared" si="9"/>
        <v>32.999400000000001</v>
      </c>
    </row>
    <row r="109" spans="1:6" s="17" customFormat="1" x14ac:dyDescent="0.25">
      <c r="A109" s="2" t="s">
        <v>97</v>
      </c>
      <c r="B109" s="13">
        <v>42.900000000000006</v>
      </c>
      <c r="C109" s="16">
        <f t="shared" si="7"/>
        <v>57.20000000000001</v>
      </c>
      <c r="D109" s="16">
        <f t="shared" si="8"/>
        <v>85.800000000000011</v>
      </c>
      <c r="E109" s="32">
        <f t="shared" si="6"/>
        <v>49.335000000000001</v>
      </c>
      <c r="F109" s="16">
        <f t="shared" si="9"/>
        <v>37.451700000000002</v>
      </c>
    </row>
    <row r="110" spans="1:6" s="17" customFormat="1" x14ac:dyDescent="0.25">
      <c r="A110" s="2" t="s">
        <v>98</v>
      </c>
      <c r="B110" s="13">
        <v>72</v>
      </c>
      <c r="C110" s="16">
        <f t="shared" si="7"/>
        <v>96</v>
      </c>
      <c r="D110" s="16">
        <f t="shared" si="8"/>
        <v>144</v>
      </c>
      <c r="E110" s="32">
        <f t="shared" si="6"/>
        <v>82.8</v>
      </c>
      <c r="F110" s="16">
        <f t="shared" si="9"/>
        <v>62.856000000000002</v>
      </c>
    </row>
    <row r="111" spans="1:6" s="17" customFormat="1" x14ac:dyDescent="0.25">
      <c r="A111" s="2" t="s">
        <v>99</v>
      </c>
      <c r="B111" s="13">
        <v>8.4</v>
      </c>
      <c r="C111" s="16">
        <f t="shared" si="7"/>
        <v>11.200000000000001</v>
      </c>
      <c r="D111" s="16">
        <f t="shared" si="8"/>
        <v>16.8</v>
      </c>
      <c r="E111" s="32">
        <f t="shared" si="6"/>
        <v>9.66</v>
      </c>
      <c r="F111" s="16">
        <f t="shared" si="9"/>
        <v>7.3332000000000006</v>
      </c>
    </row>
    <row r="112" spans="1:6" s="17" customFormat="1" x14ac:dyDescent="0.25">
      <c r="A112" s="2" t="s">
        <v>100</v>
      </c>
      <c r="B112" s="13">
        <v>14.100000000000001</v>
      </c>
      <c r="C112" s="16">
        <f t="shared" si="7"/>
        <v>18.8</v>
      </c>
      <c r="D112" s="16">
        <f t="shared" si="8"/>
        <v>28.200000000000003</v>
      </c>
      <c r="E112" s="32">
        <f t="shared" si="6"/>
        <v>16.215</v>
      </c>
      <c r="F112" s="16">
        <f t="shared" si="9"/>
        <v>12.3093</v>
      </c>
    </row>
    <row r="113" spans="1:6" s="17" customFormat="1" x14ac:dyDescent="0.25">
      <c r="A113" s="4">
        <v>268</v>
      </c>
      <c r="B113" s="13">
        <v>125.4</v>
      </c>
      <c r="C113" s="16">
        <f t="shared" si="7"/>
        <v>167.20000000000002</v>
      </c>
      <c r="D113" s="16">
        <f t="shared" si="8"/>
        <v>250.8</v>
      </c>
      <c r="E113" s="32">
        <f t="shared" si="6"/>
        <v>144.21</v>
      </c>
      <c r="F113" s="16">
        <f t="shared" si="9"/>
        <v>109.47420000000001</v>
      </c>
    </row>
    <row r="114" spans="1:6" s="17" customFormat="1" x14ac:dyDescent="0.25">
      <c r="A114" s="2" t="s">
        <v>101</v>
      </c>
      <c r="B114" s="13">
        <v>21.150000000000002</v>
      </c>
      <c r="C114" s="16">
        <f t="shared" si="7"/>
        <v>28.200000000000003</v>
      </c>
      <c r="D114" s="16">
        <f t="shared" si="8"/>
        <v>42.300000000000004</v>
      </c>
      <c r="E114" s="32">
        <f t="shared" si="6"/>
        <v>24.322500000000002</v>
      </c>
      <c r="F114" s="16">
        <f t="shared" si="9"/>
        <v>18.463950000000001</v>
      </c>
    </row>
    <row r="115" spans="1:6" s="17" customFormat="1" x14ac:dyDescent="0.25">
      <c r="A115" s="2" t="s">
        <v>102</v>
      </c>
      <c r="B115" s="13">
        <v>405.90000000000003</v>
      </c>
      <c r="C115" s="16">
        <f t="shared" si="7"/>
        <v>541.20000000000005</v>
      </c>
      <c r="D115" s="16">
        <f t="shared" si="8"/>
        <v>811.80000000000007</v>
      </c>
      <c r="E115" s="32">
        <f t="shared" si="6"/>
        <v>466.78500000000003</v>
      </c>
      <c r="F115" s="16">
        <f t="shared" si="9"/>
        <v>354.35070000000002</v>
      </c>
    </row>
    <row r="116" spans="1:6" s="17" customFormat="1" x14ac:dyDescent="0.25">
      <c r="A116" s="2" t="s">
        <v>103</v>
      </c>
      <c r="B116" s="13">
        <v>405.90000000000003</v>
      </c>
      <c r="C116" s="16">
        <f t="shared" si="7"/>
        <v>541.20000000000005</v>
      </c>
      <c r="D116" s="16">
        <f t="shared" si="8"/>
        <v>811.80000000000007</v>
      </c>
      <c r="E116" s="32">
        <f t="shared" si="6"/>
        <v>466.78500000000003</v>
      </c>
      <c r="F116" s="16">
        <f t="shared" si="9"/>
        <v>354.35070000000002</v>
      </c>
    </row>
    <row r="117" spans="1:6" s="17" customFormat="1" x14ac:dyDescent="0.25">
      <c r="A117" s="2" t="s">
        <v>104</v>
      </c>
      <c r="B117" s="13">
        <v>405.90000000000003</v>
      </c>
      <c r="C117" s="16">
        <f t="shared" si="7"/>
        <v>541.20000000000005</v>
      </c>
      <c r="D117" s="16">
        <f t="shared" si="8"/>
        <v>811.80000000000007</v>
      </c>
      <c r="E117" s="32">
        <f t="shared" si="6"/>
        <v>466.78500000000003</v>
      </c>
      <c r="F117" s="16">
        <f t="shared" si="9"/>
        <v>354.35070000000002</v>
      </c>
    </row>
    <row r="118" spans="1:6" s="17" customFormat="1" x14ac:dyDescent="0.25">
      <c r="A118" s="2" t="s">
        <v>105</v>
      </c>
      <c r="B118" s="13">
        <v>37.950000000000003</v>
      </c>
      <c r="C118" s="16">
        <f t="shared" si="7"/>
        <v>50.6</v>
      </c>
      <c r="D118" s="16">
        <f t="shared" si="8"/>
        <v>75.900000000000006</v>
      </c>
      <c r="E118" s="32">
        <f t="shared" si="6"/>
        <v>43.642499999999998</v>
      </c>
      <c r="F118" s="16">
        <f t="shared" si="9"/>
        <v>33.13035</v>
      </c>
    </row>
    <row r="119" spans="1:6" s="17" customFormat="1" x14ac:dyDescent="0.25">
      <c r="A119" s="2" t="s">
        <v>106</v>
      </c>
      <c r="B119" s="13">
        <v>14.700000000000001</v>
      </c>
      <c r="C119" s="16">
        <f t="shared" si="7"/>
        <v>19.600000000000001</v>
      </c>
      <c r="D119" s="16">
        <f t="shared" si="8"/>
        <v>29.400000000000002</v>
      </c>
      <c r="E119" s="32">
        <f t="shared" si="6"/>
        <v>16.905000000000001</v>
      </c>
      <c r="F119" s="16">
        <f t="shared" si="9"/>
        <v>12.833100000000002</v>
      </c>
    </row>
    <row r="120" spans="1:6" s="17" customFormat="1" x14ac:dyDescent="0.25">
      <c r="A120" s="2" t="s">
        <v>107</v>
      </c>
      <c r="B120" s="13">
        <v>14.400000000000002</v>
      </c>
      <c r="C120" s="16">
        <f t="shared" si="7"/>
        <v>19.200000000000003</v>
      </c>
      <c r="D120" s="16">
        <f t="shared" si="8"/>
        <v>28.800000000000004</v>
      </c>
      <c r="E120" s="32">
        <f t="shared" si="6"/>
        <v>16.560000000000002</v>
      </c>
      <c r="F120" s="16">
        <f t="shared" si="9"/>
        <v>12.571200000000001</v>
      </c>
    </row>
    <row r="121" spans="1:6" s="17" customFormat="1" x14ac:dyDescent="0.25">
      <c r="A121" s="2" t="s">
        <v>108</v>
      </c>
      <c r="B121" s="13">
        <v>20.85</v>
      </c>
      <c r="C121" s="16">
        <f t="shared" si="7"/>
        <v>27.8</v>
      </c>
      <c r="D121" s="16">
        <f t="shared" si="8"/>
        <v>41.7</v>
      </c>
      <c r="E121" s="32">
        <f t="shared" si="6"/>
        <v>23.977499999999999</v>
      </c>
      <c r="F121" s="16">
        <f t="shared" si="9"/>
        <v>18.20205</v>
      </c>
    </row>
    <row r="122" spans="1:6" s="17" customFormat="1" x14ac:dyDescent="0.25">
      <c r="A122" s="2" t="s">
        <v>109</v>
      </c>
      <c r="B122" s="13">
        <v>16.8</v>
      </c>
      <c r="C122" s="16">
        <f t="shared" si="7"/>
        <v>22.400000000000002</v>
      </c>
      <c r="D122" s="16">
        <f t="shared" si="8"/>
        <v>33.6</v>
      </c>
      <c r="E122" s="32">
        <f t="shared" si="6"/>
        <v>19.32</v>
      </c>
      <c r="F122" s="16">
        <f t="shared" si="9"/>
        <v>14.666400000000001</v>
      </c>
    </row>
    <row r="123" spans="1:6" s="17" customFormat="1" x14ac:dyDescent="0.25">
      <c r="A123" s="2" t="s">
        <v>110</v>
      </c>
      <c r="B123" s="13">
        <v>35.700000000000003</v>
      </c>
      <c r="C123" s="16">
        <f t="shared" si="7"/>
        <v>47.6</v>
      </c>
      <c r="D123" s="16">
        <f t="shared" si="8"/>
        <v>71.400000000000006</v>
      </c>
      <c r="E123" s="32">
        <f t="shared" si="6"/>
        <v>41.055</v>
      </c>
      <c r="F123" s="16">
        <f t="shared" si="9"/>
        <v>31.166100000000004</v>
      </c>
    </row>
    <row r="124" spans="1:6" s="17" customFormat="1" x14ac:dyDescent="0.25">
      <c r="A124" s="2" t="s">
        <v>111</v>
      </c>
      <c r="B124" s="13">
        <v>35.700000000000003</v>
      </c>
      <c r="C124" s="16">
        <f t="shared" si="7"/>
        <v>47.6</v>
      </c>
      <c r="D124" s="16">
        <f t="shared" si="8"/>
        <v>71.400000000000006</v>
      </c>
      <c r="E124" s="32">
        <f t="shared" si="6"/>
        <v>41.055</v>
      </c>
      <c r="F124" s="16">
        <f t="shared" si="9"/>
        <v>31.166100000000004</v>
      </c>
    </row>
    <row r="125" spans="1:6" s="17" customFormat="1" x14ac:dyDescent="0.25">
      <c r="A125" s="2" t="s">
        <v>112</v>
      </c>
      <c r="B125" s="13">
        <v>192</v>
      </c>
      <c r="C125" s="16">
        <f t="shared" si="7"/>
        <v>256</v>
      </c>
      <c r="D125" s="16">
        <f t="shared" si="8"/>
        <v>384</v>
      </c>
      <c r="E125" s="32">
        <f t="shared" si="6"/>
        <v>220.79999999999998</v>
      </c>
      <c r="F125" s="16">
        <f t="shared" si="9"/>
        <v>167.61599999999999</v>
      </c>
    </row>
    <row r="126" spans="1:6" s="17" customFormat="1" x14ac:dyDescent="0.25">
      <c r="A126" s="2" t="s">
        <v>113</v>
      </c>
      <c r="B126" s="13">
        <v>189.3</v>
      </c>
      <c r="C126" s="16">
        <f t="shared" si="7"/>
        <v>252.4</v>
      </c>
      <c r="D126" s="16">
        <f t="shared" si="8"/>
        <v>378.6</v>
      </c>
      <c r="E126" s="32">
        <f t="shared" si="6"/>
        <v>217.69499999999999</v>
      </c>
      <c r="F126" s="16">
        <f t="shared" si="9"/>
        <v>165.25890000000001</v>
      </c>
    </row>
    <row r="127" spans="1:6" s="17" customFormat="1" x14ac:dyDescent="0.25">
      <c r="A127" s="2" t="s">
        <v>114</v>
      </c>
      <c r="B127" s="13">
        <v>65.7</v>
      </c>
      <c r="C127" s="16">
        <f t="shared" si="7"/>
        <v>87.600000000000009</v>
      </c>
      <c r="D127" s="16">
        <f t="shared" si="8"/>
        <v>131.4</v>
      </c>
      <c r="E127" s="32">
        <f t="shared" si="6"/>
        <v>75.554999999999993</v>
      </c>
      <c r="F127" s="16">
        <f t="shared" si="9"/>
        <v>57.356100000000005</v>
      </c>
    </row>
    <row r="128" spans="1:6" s="17" customFormat="1" x14ac:dyDescent="0.25">
      <c r="A128" s="2" t="s">
        <v>115</v>
      </c>
      <c r="B128" s="13">
        <v>4.0500000000000007</v>
      </c>
      <c r="C128" s="16">
        <f t="shared" si="7"/>
        <v>5.4000000000000012</v>
      </c>
      <c r="D128" s="16">
        <f t="shared" si="8"/>
        <v>8.1000000000000014</v>
      </c>
      <c r="E128" s="32">
        <f t="shared" si="6"/>
        <v>4.6575000000000006</v>
      </c>
      <c r="F128" s="16">
        <f t="shared" si="9"/>
        <v>3.5356500000000004</v>
      </c>
    </row>
    <row r="129" spans="1:6" s="17" customFormat="1" x14ac:dyDescent="0.25">
      <c r="A129" s="2" t="s">
        <v>116</v>
      </c>
      <c r="B129" s="13">
        <v>53.25</v>
      </c>
      <c r="C129" s="16">
        <f t="shared" si="7"/>
        <v>71</v>
      </c>
      <c r="D129" s="16">
        <f t="shared" si="8"/>
        <v>106.5</v>
      </c>
      <c r="E129" s="32">
        <f t="shared" si="6"/>
        <v>61.237499999999997</v>
      </c>
      <c r="F129" s="16">
        <f t="shared" si="9"/>
        <v>46.487250000000003</v>
      </c>
    </row>
    <row r="130" spans="1:6" s="17" customFormat="1" x14ac:dyDescent="0.25">
      <c r="A130" s="2" t="s">
        <v>117</v>
      </c>
      <c r="B130" s="13">
        <v>213.3</v>
      </c>
      <c r="C130" s="16">
        <f t="shared" si="7"/>
        <v>284.40000000000003</v>
      </c>
      <c r="D130" s="16">
        <f t="shared" si="8"/>
        <v>426.6</v>
      </c>
      <c r="E130" s="32">
        <f t="shared" si="6"/>
        <v>245.29499999999999</v>
      </c>
      <c r="F130" s="16">
        <f t="shared" si="9"/>
        <v>186.21090000000001</v>
      </c>
    </row>
    <row r="131" spans="1:6" s="17" customFormat="1" x14ac:dyDescent="0.25">
      <c r="A131" s="2" t="s">
        <v>118</v>
      </c>
      <c r="B131" s="13">
        <v>55.050000000000004</v>
      </c>
      <c r="C131" s="16">
        <f t="shared" si="7"/>
        <v>73.400000000000006</v>
      </c>
      <c r="D131" s="16">
        <f t="shared" si="8"/>
        <v>110.10000000000001</v>
      </c>
      <c r="E131" s="32">
        <f t="shared" si="6"/>
        <v>63.307499999999997</v>
      </c>
      <c r="F131" s="16">
        <f t="shared" si="9"/>
        <v>48.05865</v>
      </c>
    </row>
    <row r="132" spans="1:6" s="17" customFormat="1" x14ac:dyDescent="0.25">
      <c r="A132" s="2" t="s">
        <v>119</v>
      </c>
      <c r="B132" s="13">
        <v>42.75</v>
      </c>
      <c r="C132" s="16">
        <f t="shared" si="7"/>
        <v>57</v>
      </c>
      <c r="D132" s="16">
        <f t="shared" si="8"/>
        <v>85.5</v>
      </c>
      <c r="E132" s="32">
        <f t="shared" si="6"/>
        <v>49.162499999999994</v>
      </c>
      <c r="F132" s="16">
        <f t="shared" si="9"/>
        <v>37.320749999999997</v>
      </c>
    </row>
    <row r="133" spans="1:6" s="17" customFormat="1" x14ac:dyDescent="0.25">
      <c r="A133" s="2" t="s">
        <v>120</v>
      </c>
      <c r="B133" s="13">
        <v>34.650000000000006</v>
      </c>
      <c r="C133" s="16">
        <f t="shared" si="7"/>
        <v>46.20000000000001</v>
      </c>
      <c r="D133" s="16">
        <f t="shared" si="8"/>
        <v>69.300000000000011</v>
      </c>
      <c r="E133" s="32">
        <f t="shared" si="6"/>
        <v>39.847500000000004</v>
      </c>
      <c r="F133" s="16">
        <f t="shared" si="9"/>
        <v>30.249450000000007</v>
      </c>
    </row>
    <row r="134" spans="1:6" s="17" customFormat="1" x14ac:dyDescent="0.25">
      <c r="A134" s="2" t="s">
        <v>121</v>
      </c>
      <c r="B134" s="13">
        <v>117</v>
      </c>
      <c r="C134" s="16">
        <f t="shared" si="7"/>
        <v>156</v>
      </c>
      <c r="D134" s="16">
        <f t="shared" si="8"/>
        <v>234</v>
      </c>
      <c r="E134" s="32">
        <f t="shared" si="6"/>
        <v>134.54999999999998</v>
      </c>
      <c r="F134" s="16">
        <f t="shared" si="9"/>
        <v>102.14100000000001</v>
      </c>
    </row>
    <row r="135" spans="1:6" s="17" customFormat="1" x14ac:dyDescent="0.25">
      <c r="A135" s="2" t="s">
        <v>122</v>
      </c>
      <c r="B135" s="13">
        <v>39.75</v>
      </c>
      <c r="C135" s="16">
        <f t="shared" si="7"/>
        <v>53</v>
      </c>
      <c r="D135" s="16">
        <f t="shared" si="8"/>
        <v>79.5</v>
      </c>
      <c r="E135" s="32">
        <f t="shared" ref="E135:E197" si="10">B135*1.15</f>
        <v>45.712499999999999</v>
      </c>
      <c r="F135" s="16">
        <f t="shared" si="9"/>
        <v>34.701749999999997</v>
      </c>
    </row>
    <row r="136" spans="1:6" s="17" customFormat="1" x14ac:dyDescent="0.25">
      <c r="A136" s="2" t="s">
        <v>123</v>
      </c>
      <c r="B136" s="13">
        <v>41.550000000000004</v>
      </c>
      <c r="C136" s="16">
        <f t="shared" si="7"/>
        <v>55.400000000000006</v>
      </c>
      <c r="D136" s="16">
        <f t="shared" si="8"/>
        <v>83.100000000000009</v>
      </c>
      <c r="E136" s="32">
        <f t="shared" si="10"/>
        <v>47.782499999999999</v>
      </c>
      <c r="F136" s="16">
        <f t="shared" si="9"/>
        <v>36.273150000000001</v>
      </c>
    </row>
    <row r="137" spans="1:6" s="17" customFormat="1" x14ac:dyDescent="0.25">
      <c r="A137" s="2" t="s">
        <v>124</v>
      </c>
      <c r="B137" s="13">
        <v>50.099999999999994</v>
      </c>
      <c r="C137" s="16">
        <f t="shared" ref="C137:C199" si="11">B137/0.75</f>
        <v>66.8</v>
      </c>
      <c r="D137" s="16">
        <f t="shared" ref="D137:D199" si="12">B137*2</f>
        <v>100.19999999999999</v>
      </c>
      <c r="E137" s="32">
        <f t="shared" si="10"/>
        <v>57.614999999999988</v>
      </c>
      <c r="F137" s="16">
        <f t="shared" si="9"/>
        <v>43.737299999999998</v>
      </c>
    </row>
    <row r="138" spans="1:6" s="17" customFormat="1" x14ac:dyDescent="0.25">
      <c r="A138" s="2" t="s">
        <v>125</v>
      </c>
      <c r="B138" s="13">
        <v>49.2</v>
      </c>
      <c r="C138" s="16">
        <f t="shared" si="11"/>
        <v>65.600000000000009</v>
      </c>
      <c r="D138" s="16">
        <f t="shared" si="12"/>
        <v>98.4</v>
      </c>
      <c r="E138" s="32">
        <f t="shared" si="10"/>
        <v>56.58</v>
      </c>
      <c r="F138" s="16">
        <f t="shared" si="9"/>
        <v>42.951599999999999</v>
      </c>
    </row>
    <row r="139" spans="1:6" s="17" customFormat="1" x14ac:dyDescent="0.25">
      <c r="A139" s="2" t="s">
        <v>126</v>
      </c>
      <c r="B139" s="13">
        <v>82.5</v>
      </c>
      <c r="C139" s="16">
        <f t="shared" si="11"/>
        <v>110</v>
      </c>
      <c r="D139" s="16">
        <f t="shared" si="12"/>
        <v>165</v>
      </c>
      <c r="E139" s="32">
        <f t="shared" si="10"/>
        <v>94.874999999999986</v>
      </c>
      <c r="F139" s="16">
        <f t="shared" si="9"/>
        <v>72.022499999999994</v>
      </c>
    </row>
    <row r="140" spans="1:6" s="17" customFormat="1" x14ac:dyDescent="0.25">
      <c r="A140" s="2" t="s">
        <v>127</v>
      </c>
      <c r="B140" s="13">
        <v>268.8</v>
      </c>
      <c r="C140" s="16">
        <f t="shared" si="11"/>
        <v>358.40000000000003</v>
      </c>
      <c r="D140" s="16">
        <f t="shared" si="12"/>
        <v>537.6</v>
      </c>
      <c r="E140" s="32">
        <f t="shared" si="10"/>
        <v>309.12</v>
      </c>
      <c r="F140" s="16">
        <f t="shared" si="9"/>
        <v>234.66240000000002</v>
      </c>
    </row>
    <row r="141" spans="1:6" s="17" customFormat="1" x14ac:dyDescent="0.25">
      <c r="A141" s="2" t="s">
        <v>128</v>
      </c>
      <c r="B141" s="13">
        <v>368.70000000000005</v>
      </c>
      <c r="C141" s="16">
        <f t="shared" si="11"/>
        <v>491.60000000000008</v>
      </c>
      <c r="D141" s="16">
        <f t="shared" si="12"/>
        <v>737.40000000000009</v>
      </c>
      <c r="E141" s="32">
        <f t="shared" si="10"/>
        <v>424.005</v>
      </c>
      <c r="F141" s="16">
        <f t="shared" si="9"/>
        <v>321.87510000000003</v>
      </c>
    </row>
    <row r="142" spans="1:6" s="17" customFormat="1" x14ac:dyDescent="0.25">
      <c r="A142" s="2" t="s">
        <v>129</v>
      </c>
      <c r="B142" s="13">
        <v>54.900000000000006</v>
      </c>
      <c r="C142" s="16">
        <f t="shared" si="11"/>
        <v>73.2</v>
      </c>
      <c r="D142" s="16">
        <f t="shared" si="12"/>
        <v>109.80000000000001</v>
      </c>
      <c r="E142" s="32">
        <f t="shared" si="10"/>
        <v>63.135000000000005</v>
      </c>
      <c r="F142" s="16">
        <f t="shared" si="9"/>
        <v>47.927700000000002</v>
      </c>
    </row>
    <row r="143" spans="1:6" s="17" customFormat="1" x14ac:dyDescent="0.25">
      <c r="A143" s="2" t="s">
        <v>130</v>
      </c>
      <c r="B143" s="13">
        <v>62.100000000000009</v>
      </c>
      <c r="C143" s="16">
        <f t="shared" si="11"/>
        <v>82.800000000000011</v>
      </c>
      <c r="D143" s="16">
        <f t="shared" si="12"/>
        <v>124.20000000000002</v>
      </c>
      <c r="E143" s="32">
        <f t="shared" si="10"/>
        <v>71.415000000000006</v>
      </c>
      <c r="F143" s="16">
        <f t="shared" si="9"/>
        <v>54.213300000000004</v>
      </c>
    </row>
    <row r="144" spans="1:6" s="17" customFormat="1" x14ac:dyDescent="0.25">
      <c r="A144" s="2" t="s">
        <v>131</v>
      </c>
      <c r="B144" s="13">
        <v>365.25</v>
      </c>
      <c r="C144" s="16">
        <f t="shared" si="11"/>
        <v>487</v>
      </c>
      <c r="D144" s="16">
        <f t="shared" si="12"/>
        <v>730.5</v>
      </c>
      <c r="E144" s="32">
        <f t="shared" si="10"/>
        <v>420.03749999999997</v>
      </c>
      <c r="F144" s="16">
        <f t="shared" si="9"/>
        <v>318.86324999999999</v>
      </c>
    </row>
    <row r="145" spans="1:6" s="17" customFormat="1" x14ac:dyDescent="0.25">
      <c r="A145" s="2" t="s">
        <v>132</v>
      </c>
      <c r="B145" s="13">
        <v>58.350000000000009</v>
      </c>
      <c r="C145" s="16">
        <f t="shared" si="11"/>
        <v>77.800000000000011</v>
      </c>
      <c r="D145" s="16">
        <f t="shared" si="12"/>
        <v>116.70000000000002</v>
      </c>
      <c r="E145" s="32">
        <f t="shared" si="10"/>
        <v>67.102500000000006</v>
      </c>
      <c r="F145" s="16">
        <f t="shared" si="9"/>
        <v>50.939550000000004</v>
      </c>
    </row>
    <row r="146" spans="1:6" s="17" customFormat="1" x14ac:dyDescent="0.25">
      <c r="A146" s="2" t="s">
        <v>133</v>
      </c>
      <c r="B146" s="13">
        <v>147.9</v>
      </c>
      <c r="C146" s="16">
        <f t="shared" si="11"/>
        <v>197.20000000000002</v>
      </c>
      <c r="D146" s="16">
        <f t="shared" si="12"/>
        <v>295.8</v>
      </c>
      <c r="E146" s="32">
        <f t="shared" si="10"/>
        <v>170.08499999999998</v>
      </c>
      <c r="F146" s="16">
        <f t="shared" ref="F146:F209" si="13">B146*0.873</f>
        <v>129.11670000000001</v>
      </c>
    </row>
    <row r="147" spans="1:6" s="17" customFormat="1" x14ac:dyDescent="0.25">
      <c r="A147" s="2" t="s">
        <v>134</v>
      </c>
      <c r="B147" s="13">
        <v>210.14999999999998</v>
      </c>
      <c r="C147" s="16">
        <f t="shared" si="11"/>
        <v>280.2</v>
      </c>
      <c r="D147" s="16">
        <f t="shared" si="12"/>
        <v>420.29999999999995</v>
      </c>
      <c r="E147" s="32">
        <f t="shared" si="10"/>
        <v>241.67249999999996</v>
      </c>
      <c r="F147" s="16">
        <f t="shared" si="13"/>
        <v>183.46094999999997</v>
      </c>
    </row>
    <row r="148" spans="1:6" s="17" customFormat="1" x14ac:dyDescent="0.25">
      <c r="A148" s="2" t="s">
        <v>135</v>
      </c>
      <c r="B148" s="13">
        <v>170.25</v>
      </c>
      <c r="C148" s="16">
        <f t="shared" si="11"/>
        <v>227</v>
      </c>
      <c r="D148" s="16">
        <f t="shared" si="12"/>
        <v>340.5</v>
      </c>
      <c r="E148" s="32">
        <f t="shared" si="10"/>
        <v>195.78749999999999</v>
      </c>
      <c r="F148" s="16">
        <f t="shared" si="13"/>
        <v>148.62825000000001</v>
      </c>
    </row>
    <row r="149" spans="1:6" s="17" customFormat="1" x14ac:dyDescent="0.25">
      <c r="A149" s="2" t="s">
        <v>136</v>
      </c>
      <c r="B149" s="13">
        <v>276.90000000000003</v>
      </c>
      <c r="C149" s="16">
        <f t="shared" si="11"/>
        <v>369.20000000000005</v>
      </c>
      <c r="D149" s="16">
        <f t="shared" si="12"/>
        <v>553.80000000000007</v>
      </c>
      <c r="E149" s="32">
        <f t="shared" si="10"/>
        <v>318.435</v>
      </c>
      <c r="F149" s="16">
        <f t="shared" si="13"/>
        <v>241.73370000000003</v>
      </c>
    </row>
    <row r="150" spans="1:6" s="17" customFormat="1" x14ac:dyDescent="0.25">
      <c r="A150" s="2" t="s">
        <v>137</v>
      </c>
      <c r="B150" s="13">
        <v>282.3</v>
      </c>
      <c r="C150" s="16">
        <f t="shared" si="11"/>
        <v>376.40000000000003</v>
      </c>
      <c r="D150" s="16">
        <f t="shared" si="12"/>
        <v>564.6</v>
      </c>
      <c r="E150" s="32">
        <f t="shared" si="10"/>
        <v>324.64499999999998</v>
      </c>
      <c r="F150" s="16">
        <f t="shared" si="13"/>
        <v>246.4479</v>
      </c>
    </row>
    <row r="151" spans="1:6" s="17" customFormat="1" x14ac:dyDescent="0.25">
      <c r="A151" s="4">
        <v>34715</v>
      </c>
      <c r="B151" s="13">
        <v>282.3</v>
      </c>
      <c r="C151" s="16">
        <f t="shared" si="11"/>
        <v>376.40000000000003</v>
      </c>
      <c r="D151" s="16">
        <f t="shared" si="12"/>
        <v>564.6</v>
      </c>
      <c r="E151" s="32">
        <f t="shared" si="10"/>
        <v>324.64499999999998</v>
      </c>
      <c r="F151" s="16">
        <f t="shared" si="13"/>
        <v>246.4479</v>
      </c>
    </row>
    <row r="152" spans="1:6" s="17" customFormat="1" x14ac:dyDescent="0.25">
      <c r="A152" s="2" t="s">
        <v>138</v>
      </c>
      <c r="B152" s="13">
        <v>220.5</v>
      </c>
      <c r="C152" s="16">
        <f t="shared" si="11"/>
        <v>294</v>
      </c>
      <c r="D152" s="16">
        <f t="shared" si="12"/>
        <v>441</v>
      </c>
      <c r="E152" s="32">
        <f t="shared" si="10"/>
        <v>253.57499999999999</v>
      </c>
      <c r="F152" s="16">
        <f t="shared" si="13"/>
        <v>192.4965</v>
      </c>
    </row>
    <row r="153" spans="1:6" s="17" customFormat="1" x14ac:dyDescent="0.25">
      <c r="A153" s="4">
        <v>34745</v>
      </c>
      <c r="B153" s="13">
        <v>220.5</v>
      </c>
      <c r="C153" s="16">
        <f t="shared" si="11"/>
        <v>294</v>
      </c>
      <c r="D153" s="16">
        <f t="shared" si="12"/>
        <v>441</v>
      </c>
      <c r="E153" s="32">
        <f t="shared" si="10"/>
        <v>253.57499999999999</v>
      </c>
      <c r="F153" s="16">
        <f t="shared" si="13"/>
        <v>192.4965</v>
      </c>
    </row>
    <row r="154" spans="1:6" s="17" customFormat="1" x14ac:dyDescent="0.25">
      <c r="A154" s="2" t="s">
        <v>139</v>
      </c>
      <c r="B154" s="13">
        <v>288.15000000000003</v>
      </c>
      <c r="C154" s="16">
        <f t="shared" si="11"/>
        <v>384.20000000000005</v>
      </c>
      <c r="D154" s="16">
        <f t="shared" si="12"/>
        <v>576.30000000000007</v>
      </c>
      <c r="E154" s="32">
        <f t="shared" si="10"/>
        <v>331.3725</v>
      </c>
      <c r="F154" s="16">
        <f t="shared" si="13"/>
        <v>251.55495000000002</v>
      </c>
    </row>
    <row r="155" spans="1:6" s="17" customFormat="1" x14ac:dyDescent="0.25">
      <c r="A155" s="2" t="s">
        <v>140</v>
      </c>
      <c r="B155" s="13">
        <v>81.150000000000006</v>
      </c>
      <c r="C155" s="16">
        <f t="shared" si="11"/>
        <v>108.2</v>
      </c>
      <c r="D155" s="16">
        <f t="shared" si="12"/>
        <v>162.30000000000001</v>
      </c>
      <c r="E155" s="32">
        <f t="shared" si="10"/>
        <v>93.322500000000005</v>
      </c>
      <c r="F155" s="16">
        <f t="shared" si="13"/>
        <v>70.843950000000007</v>
      </c>
    </row>
    <row r="156" spans="1:6" s="17" customFormat="1" x14ac:dyDescent="0.25">
      <c r="A156" s="2" t="s">
        <v>141</v>
      </c>
      <c r="B156" s="13">
        <v>229.8</v>
      </c>
      <c r="C156" s="16">
        <f t="shared" si="11"/>
        <v>306.40000000000003</v>
      </c>
      <c r="D156" s="16">
        <f t="shared" si="12"/>
        <v>459.6</v>
      </c>
      <c r="E156" s="32">
        <f t="shared" si="10"/>
        <v>264.27</v>
      </c>
      <c r="F156" s="16">
        <f t="shared" si="13"/>
        <v>200.61540000000002</v>
      </c>
    </row>
    <row r="157" spans="1:6" s="17" customFormat="1" x14ac:dyDescent="0.25">
      <c r="A157" s="2" t="s">
        <v>142</v>
      </c>
      <c r="B157" s="13">
        <v>107.69999999999999</v>
      </c>
      <c r="C157" s="16">
        <f t="shared" si="11"/>
        <v>143.6</v>
      </c>
      <c r="D157" s="16">
        <f t="shared" si="12"/>
        <v>215.39999999999998</v>
      </c>
      <c r="E157" s="32">
        <f t="shared" si="10"/>
        <v>123.85499999999998</v>
      </c>
      <c r="F157" s="16">
        <f t="shared" si="13"/>
        <v>94.022099999999995</v>
      </c>
    </row>
    <row r="158" spans="1:6" s="17" customFormat="1" x14ac:dyDescent="0.25">
      <c r="A158" s="2" t="s">
        <v>143</v>
      </c>
      <c r="B158" s="13">
        <v>327.75</v>
      </c>
      <c r="C158" s="16">
        <f t="shared" si="11"/>
        <v>437</v>
      </c>
      <c r="D158" s="16">
        <f t="shared" si="12"/>
        <v>655.5</v>
      </c>
      <c r="E158" s="32">
        <f t="shared" si="10"/>
        <v>376.91249999999997</v>
      </c>
      <c r="F158" s="16">
        <f t="shared" si="13"/>
        <v>286.12574999999998</v>
      </c>
    </row>
    <row r="159" spans="1:6" s="17" customFormat="1" x14ac:dyDescent="0.25">
      <c r="A159" s="2" t="s">
        <v>144</v>
      </c>
      <c r="B159" s="13">
        <v>334.05</v>
      </c>
      <c r="C159" s="16">
        <f t="shared" si="11"/>
        <v>445.40000000000003</v>
      </c>
      <c r="D159" s="16">
        <f t="shared" si="12"/>
        <v>668.1</v>
      </c>
      <c r="E159" s="32">
        <f t="shared" si="10"/>
        <v>384.15749999999997</v>
      </c>
      <c r="F159" s="16">
        <f t="shared" si="13"/>
        <v>291.62565000000001</v>
      </c>
    </row>
    <row r="160" spans="1:6" s="17" customFormat="1" x14ac:dyDescent="0.25">
      <c r="A160" s="4">
        <v>35715</v>
      </c>
      <c r="B160" s="13">
        <v>334.05</v>
      </c>
      <c r="C160" s="16">
        <f t="shared" si="11"/>
        <v>445.40000000000003</v>
      </c>
      <c r="D160" s="16">
        <f t="shared" si="12"/>
        <v>668.1</v>
      </c>
      <c r="E160" s="32">
        <f t="shared" si="10"/>
        <v>384.15749999999997</v>
      </c>
      <c r="F160" s="16">
        <f t="shared" si="13"/>
        <v>291.62565000000001</v>
      </c>
    </row>
    <row r="161" spans="1:6" s="17" customFormat="1" x14ac:dyDescent="0.25">
      <c r="A161" s="2" t="s">
        <v>145</v>
      </c>
      <c r="B161" s="13">
        <v>267.75</v>
      </c>
      <c r="C161" s="16">
        <f t="shared" si="11"/>
        <v>357</v>
      </c>
      <c r="D161" s="16">
        <f t="shared" si="12"/>
        <v>535.5</v>
      </c>
      <c r="E161" s="32">
        <f t="shared" si="10"/>
        <v>307.91249999999997</v>
      </c>
      <c r="F161" s="16">
        <f t="shared" si="13"/>
        <v>233.74574999999999</v>
      </c>
    </row>
    <row r="162" spans="1:6" s="17" customFormat="1" x14ac:dyDescent="0.25">
      <c r="A162" s="4">
        <v>35745</v>
      </c>
      <c r="B162" s="13">
        <v>267.75</v>
      </c>
      <c r="C162" s="16">
        <f t="shared" si="11"/>
        <v>357</v>
      </c>
      <c r="D162" s="16">
        <f t="shared" si="12"/>
        <v>535.5</v>
      </c>
      <c r="E162" s="32">
        <f t="shared" si="10"/>
        <v>307.91249999999997</v>
      </c>
      <c r="F162" s="16">
        <f t="shared" si="13"/>
        <v>233.74574999999999</v>
      </c>
    </row>
    <row r="163" spans="1:6" s="17" customFormat="1" x14ac:dyDescent="0.25">
      <c r="A163" s="2" t="s">
        <v>146</v>
      </c>
      <c r="B163" s="13">
        <v>333.75</v>
      </c>
      <c r="C163" s="16">
        <f t="shared" si="11"/>
        <v>445</v>
      </c>
      <c r="D163" s="16">
        <f t="shared" si="12"/>
        <v>667.5</v>
      </c>
      <c r="E163" s="32">
        <f t="shared" si="10"/>
        <v>383.81249999999994</v>
      </c>
      <c r="F163" s="16">
        <f t="shared" si="13"/>
        <v>291.36374999999998</v>
      </c>
    </row>
    <row r="164" spans="1:6" s="17" customFormat="1" x14ac:dyDescent="0.25">
      <c r="A164" s="2" t="s">
        <v>147</v>
      </c>
      <c r="B164" s="13">
        <v>73.650000000000006</v>
      </c>
      <c r="C164" s="16">
        <f t="shared" si="11"/>
        <v>98.2</v>
      </c>
      <c r="D164" s="16">
        <f t="shared" si="12"/>
        <v>147.30000000000001</v>
      </c>
      <c r="E164" s="32">
        <f t="shared" si="10"/>
        <v>84.697500000000005</v>
      </c>
      <c r="F164" s="16">
        <f t="shared" si="13"/>
        <v>64.296450000000007</v>
      </c>
    </row>
    <row r="165" spans="1:6" s="17" customFormat="1" x14ac:dyDescent="0.25">
      <c r="A165" s="2" t="s">
        <v>148</v>
      </c>
      <c r="B165" s="13">
        <v>215.70000000000002</v>
      </c>
      <c r="C165" s="16">
        <f t="shared" si="11"/>
        <v>287.60000000000002</v>
      </c>
      <c r="D165" s="16">
        <f t="shared" si="12"/>
        <v>431.40000000000003</v>
      </c>
      <c r="E165" s="32">
        <f t="shared" si="10"/>
        <v>248.05500000000001</v>
      </c>
      <c r="F165" s="16">
        <f t="shared" si="13"/>
        <v>188.30610000000001</v>
      </c>
    </row>
    <row r="166" spans="1:6" s="17" customFormat="1" x14ac:dyDescent="0.25">
      <c r="A166" s="2" t="s">
        <v>149</v>
      </c>
      <c r="B166" s="13">
        <v>154.20000000000002</v>
      </c>
      <c r="C166" s="16">
        <f t="shared" si="11"/>
        <v>205.60000000000002</v>
      </c>
      <c r="D166" s="16">
        <f t="shared" si="12"/>
        <v>308.40000000000003</v>
      </c>
      <c r="E166" s="32">
        <f t="shared" si="10"/>
        <v>177.33</v>
      </c>
      <c r="F166" s="16">
        <f t="shared" si="13"/>
        <v>134.61660000000001</v>
      </c>
    </row>
    <row r="167" spans="1:6" s="17" customFormat="1" x14ac:dyDescent="0.25">
      <c r="A167" s="2" t="s">
        <v>150</v>
      </c>
      <c r="B167" s="13">
        <v>94.800000000000011</v>
      </c>
      <c r="C167" s="16">
        <f t="shared" si="11"/>
        <v>126.40000000000002</v>
      </c>
      <c r="D167" s="16">
        <f t="shared" si="12"/>
        <v>189.60000000000002</v>
      </c>
      <c r="E167" s="32">
        <f t="shared" si="10"/>
        <v>109.02000000000001</v>
      </c>
      <c r="F167" s="16">
        <f t="shared" si="13"/>
        <v>82.760400000000004</v>
      </c>
    </row>
    <row r="168" spans="1:6" s="17" customFormat="1" x14ac:dyDescent="0.25">
      <c r="A168" s="2" t="s">
        <v>151</v>
      </c>
      <c r="B168" s="13">
        <v>113.85000000000001</v>
      </c>
      <c r="C168" s="16">
        <f t="shared" si="11"/>
        <v>151.80000000000001</v>
      </c>
      <c r="D168" s="16">
        <f t="shared" si="12"/>
        <v>227.70000000000002</v>
      </c>
      <c r="E168" s="32">
        <f t="shared" si="10"/>
        <v>130.92750000000001</v>
      </c>
      <c r="F168" s="16">
        <f t="shared" si="13"/>
        <v>99.391050000000007</v>
      </c>
    </row>
    <row r="169" spans="1:6" s="17" customFormat="1" x14ac:dyDescent="0.25">
      <c r="A169" s="2" t="s">
        <v>152</v>
      </c>
      <c r="B169" s="13">
        <v>117.15</v>
      </c>
      <c r="C169" s="16">
        <f t="shared" si="11"/>
        <v>156.20000000000002</v>
      </c>
      <c r="D169" s="16">
        <f t="shared" si="12"/>
        <v>234.3</v>
      </c>
      <c r="E169" s="32">
        <f t="shared" si="10"/>
        <v>134.7225</v>
      </c>
      <c r="F169" s="16">
        <f t="shared" si="13"/>
        <v>102.27195</v>
      </c>
    </row>
    <row r="170" spans="1:6" s="17" customFormat="1" x14ac:dyDescent="0.25">
      <c r="A170" s="2" t="s">
        <v>153</v>
      </c>
      <c r="B170" s="13">
        <v>27.150000000000002</v>
      </c>
      <c r="C170" s="16">
        <f t="shared" si="11"/>
        <v>36.200000000000003</v>
      </c>
      <c r="D170" s="16">
        <f t="shared" si="12"/>
        <v>54.300000000000004</v>
      </c>
      <c r="E170" s="32">
        <f t="shared" si="10"/>
        <v>31.2225</v>
      </c>
      <c r="F170" s="16">
        <f t="shared" si="13"/>
        <v>23.70195</v>
      </c>
    </row>
    <row r="171" spans="1:6" s="17" customFormat="1" x14ac:dyDescent="0.25">
      <c r="A171" s="2" t="s">
        <v>154</v>
      </c>
      <c r="B171" s="13">
        <v>161.10000000000002</v>
      </c>
      <c r="C171" s="16">
        <f t="shared" si="11"/>
        <v>214.80000000000004</v>
      </c>
      <c r="D171" s="16">
        <f t="shared" si="12"/>
        <v>322.20000000000005</v>
      </c>
      <c r="E171" s="32">
        <f t="shared" si="10"/>
        <v>185.26500000000001</v>
      </c>
      <c r="F171" s="16">
        <f t="shared" si="13"/>
        <v>140.64030000000002</v>
      </c>
    </row>
    <row r="172" spans="1:6" s="17" customFormat="1" x14ac:dyDescent="0.25">
      <c r="A172" s="2" t="s">
        <v>155</v>
      </c>
      <c r="B172" s="13">
        <v>164.4</v>
      </c>
      <c r="C172" s="16">
        <f t="shared" si="11"/>
        <v>219.20000000000002</v>
      </c>
      <c r="D172" s="16">
        <f t="shared" si="12"/>
        <v>328.8</v>
      </c>
      <c r="E172" s="32">
        <f t="shared" si="10"/>
        <v>189.06</v>
      </c>
      <c r="F172" s="16">
        <f t="shared" si="13"/>
        <v>143.52119999999999</v>
      </c>
    </row>
    <row r="173" spans="1:6" s="17" customFormat="1" x14ac:dyDescent="0.25">
      <c r="A173" s="2" t="s">
        <v>156</v>
      </c>
      <c r="B173" s="13">
        <v>348.75</v>
      </c>
      <c r="C173" s="16">
        <f t="shared" si="11"/>
        <v>465</v>
      </c>
      <c r="D173" s="16">
        <f t="shared" si="12"/>
        <v>697.5</v>
      </c>
      <c r="E173" s="32">
        <f t="shared" si="10"/>
        <v>401.06249999999994</v>
      </c>
      <c r="F173" s="16">
        <f t="shared" si="13"/>
        <v>304.45875000000001</v>
      </c>
    </row>
    <row r="174" spans="1:6" s="17" customFormat="1" x14ac:dyDescent="0.25">
      <c r="A174" s="2" t="s">
        <v>157</v>
      </c>
      <c r="B174" s="13">
        <v>348.75</v>
      </c>
      <c r="C174" s="16">
        <f t="shared" si="11"/>
        <v>465</v>
      </c>
      <c r="D174" s="16">
        <f t="shared" si="12"/>
        <v>697.5</v>
      </c>
      <c r="E174" s="32">
        <f t="shared" si="10"/>
        <v>401.06249999999994</v>
      </c>
      <c r="F174" s="16">
        <f t="shared" si="13"/>
        <v>304.45875000000001</v>
      </c>
    </row>
    <row r="175" spans="1:6" s="17" customFormat="1" x14ac:dyDescent="0.25">
      <c r="A175" s="2" t="s">
        <v>158</v>
      </c>
      <c r="B175" s="13">
        <v>348.75</v>
      </c>
      <c r="C175" s="16">
        <f t="shared" si="11"/>
        <v>465</v>
      </c>
      <c r="D175" s="16">
        <f t="shared" si="12"/>
        <v>697.5</v>
      </c>
      <c r="E175" s="32">
        <f t="shared" si="10"/>
        <v>401.06249999999994</v>
      </c>
      <c r="F175" s="16">
        <f t="shared" si="13"/>
        <v>304.45875000000001</v>
      </c>
    </row>
    <row r="176" spans="1:6" s="17" customFormat="1" x14ac:dyDescent="0.25">
      <c r="A176" s="2" t="s">
        <v>159</v>
      </c>
      <c r="B176" s="13">
        <v>38.400000000000006</v>
      </c>
      <c r="C176" s="16">
        <f t="shared" si="11"/>
        <v>51.20000000000001</v>
      </c>
      <c r="D176" s="16">
        <f t="shared" si="12"/>
        <v>76.800000000000011</v>
      </c>
      <c r="E176" s="32">
        <f t="shared" si="10"/>
        <v>44.160000000000004</v>
      </c>
      <c r="F176" s="16">
        <f t="shared" si="13"/>
        <v>33.523200000000003</v>
      </c>
    </row>
    <row r="177" spans="1:6" s="17" customFormat="1" x14ac:dyDescent="0.25">
      <c r="A177" s="2" t="s">
        <v>160</v>
      </c>
      <c r="B177" s="13">
        <v>370.35</v>
      </c>
      <c r="C177" s="16">
        <f t="shared" si="11"/>
        <v>493.8</v>
      </c>
      <c r="D177" s="16">
        <f t="shared" si="12"/>
        <v>740.7</v>
      </c>
      <c r="E177" s="32">
        <f t="shared" si="10"/>
        <v>425.90249999999997</v>
      </c>
      <c r="F177" s="16">
        <f t="shared" si="13"/>
        <v>323.31555000000003</v>
      </c>
    </row>
    <row r="178" spans="1:6" s="17" customFormat="1" x14ac:dyDescent="0.25">
      <c r="A178" s="2" t="s">
        <v>161</v>
      </c>
      <c r="B178" s="13">
        <v>370.35</v>
      </c>
      <c r="C178" s="16">
        <f t="shared" si="11"/>
        <v>493.8</v>
      </c>
      <c r="D178" s="16">
        <f t="shared" si="12"/>
        <v>740.7</v>
      </c>
      <c r="E178" s="32">
        <f t="shared" si="10"/>
        <v>425.90249999999997</v>
      </c>
      <c r="F178" s="16">
        <f t="shared" si="13"/>
        <v>323.31555000000003</v>
      </c>
    </row>
    <row r="179" spans="1:6" s="17" customFormat="1" x14ac:dyDescent="0.25">
      <c r="A179" s="2" t="s">
        <v>162</v>
      </c>
      <c r="B179" s="13">
        <v>370.35</v>
      </c>
      <c r="C179" s="16">
        <f t="shared" si="11"/>
        <v>493.8</v>
      </c>
      <c r="D179" s="16">
        <f t="shared" si="12"/>
        <v>740.7</v>
      </c>
      <c r="E179" s="32">
        <f t="shared" si="10"/>
        <v>425.90249999999997</v>
      </c>
      <c r="F179" s="16">
        <f t="shared" si="13"/>
        <v>323.31555000000003</v>
      </c>
    </row>
    <row r="180" spans="1:6" s="17" customFormat="1" x14ac:dyDescent="0.25">
      <c r="A180" s="2" t="s">
        <v>163</v>
      </c>
      <c r="B180" s="13">
        <v>389.40000000000003</v>
      </c>
      <c r="C180" s="16">
        <f t="shared" si="11"/>
        <v>519.20000000000005</v>
      </c>
      <c r="D180" s="16">
        <f t="shared" si="12"/>
        <v>778.80000000000007</v>
      </c>
      <c r="E180" s="32">
        <f t="shared" si="10"/>
        <v>447.81</v>
      </c>
      <c r="F180" s="16">
        <f t="shared" si="13"/>
        <v>339.94620000000003</v>
      </c>
    </row>
    <row r="181" spans="1:6" s="17" customFormat="1" x14ac:dyDescent="0.25">
      <c r="A181" s="2" t="s">
        <v>164</v>
      </c>
      <c r="B181" s="13">
        <v>389.40000000000003</v>
      </c>
      <c r="C181" s="16">
        <f t="shared" si="11"/>
        <v>519.20000000000005</v>
      </c>
      <c r="D181" s="16">
        <f t="shared" si="12"/>
        <v>778.80000000000007</v>
      </c>
      <c r="E181" s="32">
        <f t="shared" si="10"/>
        <v>447.81</v>
      </c>
      <c r="F181" s="16">
        <f t="shared" si="13"/>
        <v>339.94620000000003</v>
      </c>
    </row>
    <row r="182" spans="1:6" s="17" customFormat="1" x14ac:dyDescent="0.25">
      <c r="A182" s="2" t="s">
        <v>165</v>
      </c>
      <c r="B182" s="13">
        <v>389.40000000000003</v>
      </c>
      <c r="C182" s="16">
        <f t="shared" si="11"/>
        <v>519.20000000000005</v>
      </c>
      <c r="D182" s="16">
        <f t="shared" si="12"/>
        <v>778.80000000000007</v>
      </c>
      <c r="E182" s="32">
        <f t="shared" si="10"/>
        <v>447.81</v>
      </c>
      <c r="F182" s="16">
        <f t="shared" si="13"/>
        <v>339.94620000000003</v>
      </c>
    </row>
    <row r="183" spans="1:6" s="17" customFormat="1" x14ac:dyDescent="0.25">
      <c r="A183" s="2" t="s">
        <v>166</v>
      </c>
      <c r="B183" s="13">
        <v>408.45000000000005</v>
      </c>
      <c r="C183" s="16">
        <f t="shared" si="11"/>
        <v>544.6</v>
      </c>
      <c r="D183" s="16">
        <f t="shared" si="12"/>
        <v>816.90000000000009</v>
      </c>
      <c r="E183" s="32">
        <f t="shared" si="10"/>
        <v>469.71750000000003</v>
      </c>
      <c r="F183" s="16">
        <f t="shared" si="13"/>
        <v>356.57685000000004</v>
      </c>
    </row>
    <row r="184" spans="1:6" s="17" customFormat="1" x14ac:dyDescent="0.25">
      <c r="A184" s="2" t="s">
        <v>167</v>
      </c>
      <c r="B184" s="13">
        <v>408.45000000000005</v>
      </c>
      <c r="C184" s="16">
        <f t="shared" si="11"/>
        <v>544.6</v>
      </c>
      <c r="D184" s="16">
        <f t="shared" si="12"/>
        <v>816.90000000000009</v>
      </c>
      <c r="E184" s="32">
        <f t="shared" si="10"/>
        <v>469.71750000000003</v>
      </c>
      <c r="F184" s="16">
        <f t="shared" si="13"/>
        <v>356.57685000000004</v>
      </c>
    </row>
    <row r="185" spans="1:6" s="17" customFormat="1" x14ac:dyDescent="0.25">
      <c r="A185" s="2" t="s">
        <v>168</v>
      </c>
      <c r="B185" s="13">
        <v>408.45000000000005</v>
      </c>
      <c r="C185" s="16">
        <f t="shared" si="11"/>
        <v>544.6</v>
      </c>
      <c r="D185" s="16">
        <f t="shared" si="12"/>
        <v>816.90000000000009</v>
      </c>
      <c r="E185" s="32">
        <f t="shared" si="10"/>
        <v>469.71750000000003</v>
      </c>
      <c r="F185" s="16">
        <f t="shared" si="13"/>
        <v>356.57685000000004</v>
      </c>
    </row>
    <row r="186" spans="1:6" s="17" customFormat="1" x14ac:dyDescent="0.25">
      <c r="A186" s="2" t="s">
        <v>169</v>
      </c>
      <c r="B186" s="13">
        <v>261.75</v>
      </c>
      <c r="C186" s="16">
        <f t="shared" si="11"/>
        <v>349</v>
      </c>
      <c r="D186" s="16">
        <f t="shared" si="12"/>
        <v>523.5</v>
      </c>
      <c r="E186" s="32">
        <f t="shared" si="10"/>
        <v>301.01249999999999</v>
      </c>
      <c r="F186" s="16">
        <f t="shared" si="13"/>
        <v>228.50774999999999</v>
      </c>
    </row>
    <row r="187" spans="1:6" s="17" customFormat="1" x14ac:dyDescent="0.25">
      <c r="A187" s="2" t="s">
        <v>170</v>
      </c>
      <c r="B187" s="13">
        <v>30</v>
      </c>
      <c r="C187" s="16">
        <f t="shared" si="11"/>
        <v>40</v>
      </c>
      <c r="D187" s="16">
        <f t="shared" si="12"/>
        <v>60</v>
      </c>
      <c r="E187" s="32">
        <f t="shared" si="10"/>
        <v>34.5</v>
      </c>
      <c r="F187" s="16">
        <f t="shared" si="13"/>
        <v>26.19</v>
      </c>
    </row>
    <row r="188" spans="1:6" s="17" customFormat="1" x14ac:dyDescent="0.25">
      <c r="A188" s="2" t="s">
        <v>171</v>
      </c>
      <c r="B188" s="13">
        <v>318.60000000000002</v>
      </c>
      <c r="C188" s="16">
        <f t="shared" si="11"/>
        <v>424.8</v>
      </c>
      <c r="D188" s="16">
        <f t="shared" si="12"/>
        <v>637.20000000000005</v>
      </c>
      <c r="E188" s="32">
        <f t="shared" si="10"/>
        <v>366.39</v>
      </c>
      <c r="F188" s="16">
        <f t="shared" si="13"/>
        <v>278.13780000000003</v>
      </c>
    </row>
    <row r="189" spans="1:6" s="17" customFormat="1" x14ac:dyDescent="0.25">
      <c r="A189" s="2" t="s">
        <v>172</v>
      </c>
      <c r="B189" s="13">
        <v>237.3</v>
      </c>
      <c r="C189" s="16">
        <f t="shared" si="11"/>
        <v>316.40000000000003</v>
      </c>
      <c r="D189" s="16">
        <f t="shared" si="12"/>
        <v>474.6</v>
      </c>
      <c r="E189" s="32">
        <f t="shared" si="10"/>
        <v>272.89499999999998</v>
      </c>
      <c r="F189" s="16">
        <f t="shared" si="13"/>
        <v>207.16290000000001</v>
      </c>
    </row>
    <row r="190" spans="1:6" s="17" customFormat="1" x14ac:dyDescent="0.25">
      <c r="A190" s="2" t="s">
        <v>173</v>
      </c>
      <c r="B190" s="13">
        <v>348.75</v>
      </c>
      <c r="C190" s="16">
        <f t="shared" si="11"/>
        <v>465</v>
      </c>
      <c r="D190" s="16">
        <f t="shared" si="12"/>
        <v>697.5</v>
      </c>
      <c r="E190" s="32">
        <f t="shared" si="10"/>
        <v>401.06249999999994</v>
      </c>
      <c r="F190" s="16">
        <f t="shared" si="13"/>
        <v>304.45875000000001</v>
      </c>
    </row>
    <row r="191" spans="1:6" s="17" customFormat="1" x14ac:dyDescent="0.25">
      <c r="A191" s="2" t="s">
        <v>174</v>
      </c>
      <c r="B191" s="13">
        <v>178.20000000000002</v>
      </c>
      <c r="C191" s="16">
        <f t="shared" si="11"/>
        <v>237.60000000000002</v>
      </c>
      <c r="D191" s="16">
        <f t="shared" si="12"/>
        <v>356.40000000000003</v>
      </c>
      <c r="E191" s="32">
        <f t="shared" si="10"/>
        <v>204.93</v>
      </c>
      <c r="F191" s="16">
        <f t="shared" si="13"/>
        <v>155.5686</v>
      </c>
    </row>
    <row r="192" spans="1:6" s="17" customFormat="1" x14ac:dyDescent="0.25">
      <c r="A192" s="2" t="s">
        <v>175</v>
      </c>
      <c r="B192" s="13">
        <v>65.25</v>
      </c>
      <c r="C192" s="16">
        <f t="shared" si="11"/>
        <v>87</v>
      </c>
      <c r="D192" s="16">
        <f t="shared" si="12"/>
        <v>130.5</v>
      </c>
      <c r="E192" s="32">
        <f t="shared" si="10"/>
        <v>75.037499999999994</v>
      </c>
      <c r="F192" s="16">
        <f t="shared" si="13"/>
        <v>56.963250000000002</v>
      </c>
    </row>
    <row r="193" spans="1:6" s="17" customFormat="1" x14ac:dyDescent="0.25">
      <c r="A193" s="2" t="s">
        <v>176</v>
      </c>
      <c r="B193" s="13">
        <v>347.1</v>
      </c>
      <c r="C193" s="16">
        <f t="shared" si="11"/>
        <v>462.8</v>
      </c>
      <c r="D193" s="16">
        <f t="shared" si="12"/>
        <v>694.2</v>
      </c>
      <c r="E193" s="32">
        <f t="shared" si="10"/>
        <v>399.16500000000002</v>
      </c>
      <c r="F193" s="16">
        <f t="shared" si="13"/>
        <v>303.01830000000001</v>
      </c>
    </row>
    <row r="194" spans="1:6" s="17" customFormat="1" x14ac:dyDescent="0.25">
      <c r="A194" s="2" t="s">
        <v>177</v>
      </c>
      <c r="B194" s="13">
        <v>29.550000000000004</v>
      </c>
      <c r="C194" s="16">
        <f t="shared" si="11"/>
        <v>39.400000000000006</v>
      </c>
      <c r="D194" s="16">
        <f t="shared" si="12"/>
        <v>59.100000000000009</v>
      </c>
      <c r="E194" s="32">
        <f t="shared" si="10"/>
        <v>33.982500000000002</v>
      </c>
      <c r="F194" s="16">
        <f t="shared" si="13"/>
        <v>25.797150000000002</v>
      </c>
    </row>
    <row r="195" spans="1:6" s="17" customFormat="1" x14ac:dyDescent="0.25">
      <c r="A195" s="2" t="s">
        <v>178</v>
      </c>
      <c r="B195" s="13">
        <v>303</v>
      </c>
      <c r="C195" s="16">
        <f t="shared" si="11"/>
        <v>404</v>
      </c>
      <c r="D195" s="16">
        <f t="shared" si="12"/>
        <v>606</v>
      </c>
      <c r="E195" s="32">
        <f t="shared" si="10"/>
        <v>348.45</v>
      </c>
      <c r="F195" s="16">
        <f t="shared" si="13"/>
        <v>264.51900000000001</v>
      </c>
    </row>
    <row r="196" spans="1:6" s="17" customFormat="1" x14ac:dyDescent="0.25">
      <c r="A196" s="2" t="s">
        <v>179</v>
      </c>
      <c r="B196" s="13">
        <v>221.39999999999998</v>
      </c>
      <c r="C196" s="16">
        <f t="shared" si="11"/>
        <v>295.2</v>
      </c>
      <c r="D196" s="16">
        <f t="shared" si="12"/>
        <v>442.79999999999995</v>
      </c>
      <c r="E196" s="32">
        <f t="shared" si="10"/>
        <v>254.60999999999996</v>
      </c>
      <c r="F196" s="16">
        <f t="shared" si="13"/>
        <v>193.28219999999999</v>
      </c>
    </row>
    <row r="197" spans="1:6" s="17" customFormat="1" x14ac:dyDescent="0.25">
      <c r="A197" s="2" t="s">
        <v>180</v>
      </c>
      <c r="B197" s="13">
        <v>119.10000000000001</v>
      </c>
      <c r="C197" s="16">
        <f t="shared" si="11"/>
        <v>158.80000000000001</v>
      </c>
      <c r="D197" s="16">
        <f t="shared" si="12"/>
        <v>238.20000000000002</v>
      </c>
      <c r="E197" s="32">
        <f t="shared" si="10"/>
        <v>136.965</v>
      </c>
      <c r="F197" s="16">
        <f t="shared" si="13"/>
        <v>103.97430000000001</v>
      </c>
    </row>
    <row r="198" spans="1:6" s="17" customFormat="1" x14ac:dyDescent="0.25">
      <c r="A198" s="2" t="s">
        <v>181</v>
      </c>
      <c r="B198" s="13">
        <v>30</v>
      </c>
      <c r="C198" s="16">
        <f t="shared" si="11"/>
        <v>40</v>
      </c>
      <c r="D198" s="16">
        <f t="shared" si="12"/>
        <v>60</v>
      </c>
      <c r="E198" s="32">
        <f t="shared" ref="E198:E266" si="14">B198*1.15</f>
        <v>34.5</v>
      </c>
      <c r="F198" s="16">
        <f t="shared" si="13"/>
        <v>26.19</v>
      </c>
    </row>
    <row r="199" spans="1:6" s="17" customFormat="1" x14ac:dyDescent="0.25">
      <c r="A199" s="2" t="s">
        <v>182</v>
      </c>
      <c r="B199" s="13">
        <v>28.049999999999997</v>
      </c>
      <c r="C199" s="16">
        <f t="shared" si="11"/>
        <v>37.4</v>
      </c>
      <c r="D199" s="16">
        <f t="shared" si="12"/>
        <v>56.099999999999994</v>
      </c>
      <c r="E199" s="32">
        <f t="shared" si="14"/>
        <v>32.257499999999993</v>
      </c>
      <c r="F199" s="16">
        <f t="shared" si="13"/>
        <v>24.487649999999999</v>
      </c>
    </row>
    <row r="200" spans="1:6" s="17" customFormat="1" x14ac:dyDescent="0.25">
      <c r="A200" s="2" t="s">
        <v>183</v>
      </c>
      <c r="B200" s="13">
        <v>303.75</v>
      </c>
      <c r="C200" s="16">
        <f t="shared" ref="C200:C268" si="15">B200/0.75</f>
        <v>405</v>
      </c>
      <c r="D200" s="16">
        <f t="shared" ref="D200:D268" si="16">B200*2</f>
        <v>607.5</v>
      </c>
      <c r="E200" s="32">
        <f t="shared" si="14"/>
        <v>349.3125</v>
      </c>
      <c r="F200" s="16">
        <f t="shared" si="13"/>
        <v>265.17374999999998</v>
      </c>
    </row>
    <row r="201" spans="1:6" s="17" customFormat="1" x14ac:dyDescent="0.25">
      <c r="A201" s="2" t="s">
        <v>184</v>
      </c>
      <c r="B201" s="13">
        <v>338.1</v>
      </c>
      <c r="C201" s="16">
        <f t="shared" si="15"/>
        <v>450.8</v>
      </c>
      <c r="D201" s="16">
        <f t="shared" si="16"/>
        <v>676.2</v>
      </c>
      <c r="E201" s="32">
        <f t="shared" si="14"/>
        <v>388.815</v>
      </c>
      <c r="F201" s="16">
        <f t="shared" si="13"/>
        <v>295.16130000000004</v>
      </c>
    </row>
    <row r="202" spans="1:6" s="17" customFormat="1" x14ac:dyDescent="0.25">
      <c r="A202" s="2" t="s">
        <v>185</v>
      </c>
      <c r="B202" s="13">
        <v>417</v>
      </c>
      <c r="C202" s="16">
        <f t="shared" si="15"/>
        <v>556</v>
      </c>
      <c r="D202" s="16">
        <f t="shared" si="16"/>
        <v>834</v>
      </c>
      <c r="E202" s="32">
        <f t="shared" si="14"/>
        <v>479.54999999999995</v>
      </c>
      <c r="F202" s="16">
        <f t="shared" si="13"/>
        <v>364.041</v>
      </c>
    </row>
    <row r="203" spans="1:6" s="17" customFormat="1" x14ac:dyDescent="0.25">
      <c r="A203" s="2" t="s">
        <v>186</v>
      </c>
      <c r="B203" s="13">
        <v>233.85000000000002</v>
      </c>
      <c r="C203" s="16">
        <f t="shared" si="15"/>
        <v>311.8</v>
      </c>
      <c r="D203" s="16">
        <f t="shared" si="16"/>
        <v>467.70000000000005</v>
      </c>
      <c r="E203" s="32">
        <f t="shared" si="14"/>
        <v>268.92750000000001</v>
      </c>
      <c r="F203" s="16">
        <f t="shared" si="13"/>
        <v>204.15105000000003</v>
      </c>
    </row>
    <row r="204" spans="1:6" s="17" customFormat="1" x14ac:dyDescent="0.25">
      <c r="A204" s="2" t="s">
        <v>187</v>
      </c>
      <c r="B204" s="13">
        <v>490.95000000000005</v>
      </c>
      <c r="C204" s="16">
        <f t="shared" si="15"/>
        <v>654.6</v>
      </c>
      <c r="D204" s="16">
        <f t="shared" si="16"/>
        <v>981.90000000000009</v>
      </c>
      <c r="E204" s="32">
        <f t="shared" si="14"/>
        <v>564.59249999999997</v>
      </c>
      <c r="F204" s="16">
        <f t="shared" si="13"/>
        <v>428.59935000000002</v>
      </c>
    </row>
    <row r="205" spans="1:6" s="17" customFormat="1" x14ac:dyDescent="0.25">
      <c r="A205" s="2" t="s">
        <v>188</v>
      </c>
      <c r="B205" s="13">
        <v>535.95000000000005</v>
      </c>
      <c r="C205" s="16">
        <f t="shared" si="15"/>
        <v>714.6</v>
      </c>
      <c r="D205" s="16">
        <f t="shared" si="16"/>
        <v>1071.9000000000001</v>
      </c>
      <c r="E205" s="32">
        <f t="shared" si="14"/>
        <v>616.34249999999997</v>
      </c>
      <c r="F205" s="16">
        <f t="shared" si="13"/>
        <v>467.88435000000004</v>
      </c>
    </row>
    <row r="206" spans="1:6" s="17" customFormat="1" x14ac:dyDescent="0.25">
      <c r="A206" s="2" t="s">
        <v>189</v>
      </c>
      <c r="B206" s="13">
        <v>78.150000000000006</v>
      </c>
      <c r="C206" s="16">
        <f t="shared" si="15"/>
        <v>104.2</v>
      </c>
      <c r="D206" s="16">
        <f t="shared" si="16"/>
        <v>156.30000000000001</v>
      </c>
      <c r="E206" s="32">
        <f t="shared" si="14"/>
        <v>89.872500000000002</v>
      </c>
      <c r="F206" s="16">
        <f t="shared" si="13"/>
        <v>68.224950000000007</v>
      </c>
    </row>
    <row r="207" spans="1:6" s="17" customFormat="1" x14ac:dyDescent="0.25">
      <c r="A207" s="2" t="s">
        <v>190</v>
      </c>
      <c r="B207" s="13">
        <v>515.85</v>
      </c>
      <c r="C207" s="16">
        <f t="shared" si="15"/>
        <v>687.80000000000007</v>
      </c>
      <c r="D207" s="16">
        <f t="shared" si="16"/>
        <v>1031.7</v>
      </c>
      <c r="E207" s="32">
        <f t="shared" si="14"/>
        <v>593.22749999999996</v>
      </c>
      <c r="F207" s="16">
        <f t="shared" si="13"/>
        <v>450.33705000000003</v>
      </c>
    </row>
    <row r="208" spans="1:6" s="17" customFormat="1" x14ac:dyDescent="0.25">
      <c r="A208" s="2" t="s">
        <v>191</v>
      </c>
      <c r="B208" s="13">
        <v>255.60000000000002</v>
      </c>
      <c r="C208" s="16">
        <f t="shared" si="15"/>
        <v>340.8</v>
      </c>
      <c r="D208" s="16">
        <f t="shared" si="16"/>
        <v>511.20000000000005</v>
      </c>
      <c r="E208" s="32">
        <f t="shared" si="14"/>
        <v>293.94</v>
      </c>
      <c r="F208" s="16">
        <f t="shared" si="13"/>
        <v>223.13880000000003</v>
      </c>
    </row>
    <row r="209" spans="1:6" s="17" customFormat="1" x14ac:dyDescent="0.25">
      <c r="A209" s="2" t="s">
        <v>192</v>
      </c>
      <c r="B209" s="13">
        <v>32.700000000000003</v>
      </c>
      <c r="C209" s="16">
        <f t="shared" si="15"/>
        <v>43.6</v>
      </c>
      <c r="D209" s="16">
        <f t="shared" si="16"/>
        <v>65.400000000000006</v>
      </c>
      <c r="E209" s="32">
        <f t="shared" si="14"/>
        <v>37.604999999999997</v>
      </c>
      <c r="F209" s="16">
        <f t="shared" si="13"/>
        <v>28.547100000000004</v>
      </c>
    </row>
    <row r="210" spans="1:6" s="17" customFormat="1" x14ac:dyDescent="0.25">
      <c r="A210" s="2" t="s">
        <v>193</v>
      </c>
      <c r="B210" s="13">
        <v>517.80000000000007</v>
      </c>
      <c r="C210" s="16">
        <f t="shared" si="15"/>
        <v>690.40000000000009</v>
      </c>
      <c r="D210" s="16">
        <f t="shared" si="16"/>
        <v>1035.6000000000001</v>
      </c>
      <c r="E210" s="32">
        <f t="shared" si="14"/>
        <v>595.47</v>
      </c>
      <c r="F210" s="16">
        <f t="shared" ref="F210:F273" si="17">B210*0.873</f>
        <v>452.03940000000006</v>
      </c>
    </row>
    <row r="211" spans="1:6" s="17" customFormat="1" x14ac:dyDescent="0.25">
      <c r="A211" s="2" t="s">
        <v>194</v>
      </c>
      <c r="B211" s="13">
        <v>545.1</v>
      </c>
      <c r="C211" s="16">
        <f t="shared" si="15"/>
        <v>726.80000000000007</v>
      </c>
      <c r="D211" s="16">
        <f t="shared" si="16"/>
        <v>1090.2</v>
      </c>
      <c r="E211" s="32">
        <f t="shared" si="14"/>
        <v>626.86500000000001</v>
      </c>
      <c r="F211" s="16">
        <f t="shared" si="17"/>
        <v>475.8723</v>
      </c>
    </row>
    <row r="212" spans="1:6" s="17" customFormat="1" x14ac:dyDescent="0.25">
      <c r="A212" s="2" t="s">
        <v>195</v>
      </c>
      <c r="B212" s="13">
        <v>250.20000000000002</v>
      </c>
      <c r="C212" s="16">
        <f t="shared" si="15"/>
        <v>333.6</v>
      </c>
      <c r="D212" s="16">
        <f t="shared" si="16"/>
        <v>500.40000000000003</v>
      </c>
      <c r="E212" s="32">
        <f t="shared" si="14"/>
        <v>287.73</v>
      </c>
      <c r="F212" s="16">
        <f t="shared" si="17"/>
        <v>218.42460000000003</v>
      </c>
    </row>
    <row r="213" spans="1:6" s="17" customFormat="1" x14ac:dyDescent="0.25">
      <c r="A213" s="2" t="s">
        <v>196</v>
      </c>
      <c r="B213" s="13">
        <v>60.150000000000006</v>
      </c>
      <c r="C213" s="16">
        <f t="shared" si="15"/>
        <v>80.2</v>
      </c>
      <c r="D213" s="16">
        <f t="shared" si="16"/>
        <v>120.30000000000001</v>
      </c>
      <c r="E213" s="32">
        <f t="shared" si="14"/>
        <v>69.172499999999999</v>
      </c>
      <c r="F213" s="16">
        <f t="shared" si="17"/>
        <v>52.510950000000008</v>
      </c>
    </row>
    <row r="214" spans="1:6" s="17" customFormat="1" x14ac:dyDescent="0.25">
      <c r="A214" s="2" t="s">
        <v>197</v>
      </c>
      <c r="B214" s="13">
        <v>89.850000000000009</v>
      </c>
      <c r="C214" s="16">
        <f t="shared" si="15"/>
        <v>119.80000000000001</v>
      </c>
      <c r="D214" s="16">
        <f t="shared" si="16"/>
        <v>179.70000000000002</v>
      </c>
      <c r="E214" s="32">
        <f t="shared" si="14"/>
        <v>103.3275</v>
      </c>
      <c r="F214" s="16">
        <f t="shared" si="17"/>
        <v>78.439050000000009</v>
      </c>
    </row>
    <row r="215" spans="1:6" s="17" customFormat="1" x14ac:dyDescent="0.25">
      <c r="A215" s="2" t="s">
        <v>198</v>
      </c>
      <c r="B215" s="13">
        <v>75.75</v>
      </c>
      <c r="C215" s="16">
        <f t="shared" si="15"/>
        <v>101</v>
      </c>
      <c r="D215" s="16">
        <f t="shared" si="16"/>
        <v>151.5</v>
      </c>
      <c r="E215" s="32">
        <f t="shared" si="14"/>
        <v>87.112499999999997</v>
      </c>
      <c r="F215" s="16">
        <f t="shared" si="17"/>
        <v>66.129750000000001</v>
      </c>
    </row>
    <row r="216" spans="1:6" s="17" customFormat="1" x14ac:dyDescent="0.25">
      <c r="A216" s="2" t="s">
        <v>199</v>
      </c>
      <c r="B216" s="13">
        <v>143.25</v>
      </c>
      <c r="C216" s="16">
        <f t="shared" si="15"/>
        <v>191</v>
      </c>
      <c r="D216" s="16">
        <f t="shared" si="16"/>
        <v>286.5</v>
      </c>
      <c r="E216" s="32">
        <f t="shared" si="14"/>
        <v>164.73749999999998</v>
      </c>
      <c r="F216" s="16">
        <f t="shared" si="17"/>
        <v>125.05725</v>
      </c>
    </row>
    <row r="217" spans="1:6" s="17" customFormat="1" x14ac:dyDescent="0.25">
      <c r="A217" s="2" t="s">
        <v>200</v>
      </c>
      <c r="B217" s="13">
        <v>211.35000000000002</v>
      </c>
      <c r="C217" s="16">
        <f t="shared" si="15"/>
        <v>281.8</v>
      </c>
      <c r="D217" s="16">
        <f t="shared" si="16"/>
        <v>422.70000000000005</v>
      </c>
      <c r="E217" s="32">
        <f t="shared" si="14"/>
        <v>243.05250000000001</v>
      </c>
      <c r="F217" s="16">
        <f t="shared" si="17"/>
        <v>184.50855000000001</v>
      </c>
    </row>
    <row r="218" spans="1:6" s="17" customFormat="1" x14ac:dyDescent="0.25">
      <c r="A218" s="2" t="s">
        <v>201</v>
      </c>
      <c r="B218" s="13">
        <v>258.60000000000002</v>
      </c>
      <c r="C218" s="16">
        <f t="shared" si="15"/>
        <v>344.8</v>
      </c>
      <c r="D218" s="16">
        <f t="shared" si="16"/>
        <v>517.20000000000005</v>
      </c>
      <c r="E218" s="32">
        <f t="shared" si="14"/>
        <v>297.39</v>
      </c>
      <c r="F218" s="16">
        <f t="shared" si="17"/>
        <v>225.75780000000003</v>
      </c>
    </row>
    <row r="219" spans="1:6" s="17" customFormat="1" x14ac:dyDescent="0.25">
      <c r="A219" s="2" t="s">
        <v>202</v>
      </c>
      <c r="B219" s="13">
        <v>33</v>
      </c>
      <c r="C219" s="16">
        <f t="shared" si="15"/>
        <v>44</v>
      </c>
      <c r="D219" s="16">
        <f t="shared" si="16"/>
        <v>66</v>
      </c>
      <c r="E219" s="32">
        <f t="shared" si="14"/>
        <v>37.949999999999996</v>
      </c>
      <c r="F219" s="16">
        <f t="shared" si="17"/>
        <v>28.809000000000001</v>
      </c>
    </row>
    <row r="220" spans="1:6" s="17" customFormat="1" x14ac:dyDescent="0.25">
      <c r="A220" s="2" t="s">
        <v>203</v>
      </c>
      <c r="B220" s="13">
        <v>225.75</v>
      </c>
      <c r="C220" s="16">
        <f t="shared" si="15"/>
        <v>301</v>
      </c>
      <c r="D220" s="16">
        <f t="shared" si="16"/>
        <v>451.5</v>
      </c>
      <c r="E220" s="32">
        <f t="shared" si="14"/>
        <v>259.61249999999995</v>
      </c>
      <c r="F220" s="16">
        <f t="shared" si="17"/>
        <v>197.07974999999999</v>
      </c>
    </row>
    <row r="221" spans="1:6" s="17" customFormat="1" x14ac:dyDescent="0.25">
      <c r="A221" s="2" t="s">
        <v>204</v>
      </c>
      <c r="B221" s="13">
        <v>24.900000000000002</v>
      </c>
      <c r="C221" s="16">
        <f t="shared" si="15"/>
        <v>33.200000000000003</v>
      </c>
      <c r="D221" s="16">
        <f t="shared" si="16"/>
        <v>49.800000000000004</v>
      </c>
      <c r="E221" s="32">
        <f t="shared" si="14"/>
        <v>28.635000000000002</v>
      </c>
      <c r="F221" s="16">
        <f t="shared" si="17"/>
        <v>21.7377</v>
      </c>
    </row>
    <row r="222" spans="1:6" s="17" customFormat="1" x14ac:dyDescent="0.25">
      <c r="A222" s="2" t="s">
        <v>205</v>
      </c>
      <c r="B222" s="13">
        <v>302.85000000000002</v>
      </c>
      <c r="C222" s="16">
        <f t="shared" si="15"/>
        <v>403.8</v>
      </c>
      <c r="D222" s="16">
        <f t="shared" si="16"/>
        <v>605.70000000000005</v>
      </c>
      <c r="E222" s="32">
        <f t="shared" si="14"/>
        <v>348.27749999999997</v>
      </c>
      <c r="F222" s="16">
        <f t="shared" si="17"/>
        <v>264.38805000000002</v>
      </c>
    </row>
    <row r="223" spans="1:6" s="17" customFormat="1" x14ac:dyDescent="0.25">
      <c r="A223" s="2" t="s">
        <v>206</v>
      </c>
      <c r="B223" s="13">
        <v>28.650000000000002</v>
      </c>
      <c r="C223" s="16">
        <f t="shared" si="15"/>
        <v>38.200000000000003</v>
      </c>
      <c r="D223" s="16">
        <f t="shared" si="16"/>
        <v>57.300000000000004</v>
      </c>
      <c r="E223" s="32">
        <f t="shared" si="14"/>
        <v>32.947499999999998</v>
      </c>
      <c r="F223" s="16">
        <f t="shared" si="17"/>
        <v>25.011450000000004</v>
      </c>
    </row>
    <row r="224" spans="1:6" s="17" customFormat="1" x14ac:dyDescent="0.25">
      <c r="A224" s="2" t="s">
        <v>207</v>
      </c>
      <c r="B224" s="13">
        <v>97.050000000000011</v>
      </c>
      <c r="C224" s="16">
        <f t="shared" si="15"/>
        <v>129.4</v>
      </c>
      <c r="D224" s="16">
        <f t="shared" si="16"/>
        <v>194.10000000000002</v>
      </c>
      <c r="E224" s="32">
        <f t="shared" si="14"/>
        <v>111.6075</v>
      </c>
      <c r="F224" s="16">
        <f t="shared" si="17"/>
        <v>84.724650000000011</v>
      </c>
    </row>
    <row r="225" spans="1:6" s="17" customFormat="1" x14ac:dyDescent="0.25">
      <c r="A225" s="2" t="s">
        <v>208</v>
      </c>
      <c r="B225" s="13">
        <v>34.050000000000004</v>
      </c>
      <c r="C225" s="16">
        <f t="shared" si="15"/>
        <v>45.400000000000006</v>
      </c>
      <c r="D225" s="16">
        <f t="shared" si="16"/>
        <v>68.100000000000009</v>
      </c>
      <c r="E225" s="32">
        <f t="shared" si="14"/>
        <v>39.157499999999999</v>
      </c>
      <c r="F225" s="16">
        <f t="shared" si="17"/>
        <v>29.725650000000005</v>
      </c>
    </row>
    <row r="226" spans="1:6" s="17" customFormat="1" x14ac:dyDescent="0.25">
      <c r="A226" s="2" t="s">
        <v>209</v>
      </c>
      <c r="B226" s="13">
        <v>484.80000000000007</v>
      </c>
      <c r="C226" s="16">
        <f t="shared" si="15"/>
        <v>646.40000000000009</v>
      </c>
      <c r="D226" s="16">
        <f t="shared" si="16"/>
        <v>969.60000000000014</v>
      </c>
      <c r="E226" s="32">
        <f t="shared" si="14"/>
        <v>557.52</v>
      </c>
      <c r="F226" s="16">
        <f t="shared" si="17"/>
        <v>423.23040000000003</v>
      </c>
    </row>
    <row r="227" spans="1:6" s="17" customFormat="1" x14ac:dyDescent="0.25">
      <c r="A227" s="2" t="s">
        <v>210</v>
      </c>
      <c r="B227" s="13">
        <v>33</v>
      </c>
      <c r="C227" s="16">
        <f t="shared" si="15"/>
        <v>44</v>
      </c>
      <c r="D227" s="16">
        <f t="shared" si="16"/>
        <v>66</v>
      </c>
      <c r="E227" s="32">
        <f t="shared" si="14"/>
        <v>37.949999999999996</v>
      </c>
      <c r="F227" s="16">
        <f t="shared" si="17"/>
        <v>28.809000000000001</v>
      </c>
    </row>
    <row r="228" spans="1:6" s="17" customFormat="1" x14ac:dyDescent="0.25">
      <c r="A228" s="2" t="s">
        <v>211</v>
      </c>
      <c r="B228" s="13">
        <v>600.30000000000007</v>
      </c>
      <c r="C228" s="16">
        <f t="shared" si="15"/>
        <v>800.40000000000009</v>
      </c>
      <c r="D228" s="16">
        <f t="shared" si="16"/>
        <v>1200.6000000000001</v>
      </c>
      <c r="E228" s="32">
        <f t="shared" si="14"/>
        <v>690.34500000000003</v>
      </c>
      <c r="F228" s="16">
        <f t="shared" si="17"/>
        <v>524.06190000000004</v>
      </c>
    </row>
    <row r="229" spans="1:6" s="17" customFormat="1" x14ac:dyDescent="0.25">
      <c r="A229" s="2" t="s">
        <v>212</v>
      </c>
      <c r="B229" s="13">
        <v>565.95000000000005</v>
      </c>
      <c r="C229" s="16">
        <f t="shared" si="15"/>
        <v>754.6</v>
      </c>
      <c r="D229" s="16">
        <f t="shared" si="16"/>
        <v>1131.9000000000001</v>
      </c>
      <c r="E229" s="32">
        <f t="shared" si="14"/>
        <v>650.84249999999997</v>
      </c>
      <c r="F229" s="16">
        <f t="shared" si="17"/>
        <v>494.07435000000004</v>
      </c>
    </row>
    <row r="230" spans="1:6" s="17" customFormat="1" x14ac:dyDescent="0.25">
      <c r="A230" s="2" t="s">
        <v>213</v>
      </c>
      <c r="B230" s="13">
        <v>565.95000000000005</v>
      </c>
      <c r="C230" s="16">
        <f t="shared" si="15"/>
        <v>754.6</v>
      </c>
      <c r="D230" s="16">
        <f t="shared" si="16"/>
        <v>1131.9000000000001</v>
      </c>
      <c r="E230" s="32">
        <f t="shared" si="14"/>
        <v>650.84249999999997</v>
      </c>
      <c r="F230" s="16">
        <f t="shared" si="17"/>
        <v>494.07435000000004</v>
      </c>
    </row>
    <row r="231" spans="1:6" s="17" customFormat="1" x14ac:dyDescent="0.25">
      <c r="A231" s="2" t="s">
        <v>214</v>
      </c>
      <c r="B231" s="13">
        <v>565.95000000000005</v>
      </c>
      <c r="C231" s="16">
        <f t="shared" si="15"/>
        <v>754.6</v>
      </c>
      <c r="D231" s="16">
        <f t="shared" si="16"/>
        <v>1131.9000000000001</v>
      </c>
      <c r="E231" s="32">
        <f t="shared" si="14"/>
        <v>650.84249999999997</v>
      </c>
      <c r="F231" s="16">
        <f t="shared" si="17"/>
        <v>494.07435000000004</v>
      </c>
    </row>
    <row r="232" spans="1:6" s="17" customFormat="1" x14ac:dyDescent="0.25">
      <c r="A232" s="2" t="s">
        <v>215</v>
      </c>
      <c r="B232" s="13">
        <v>608.40000000000009</v>
      </c>
      <c r="C232" s="16">
        <f t="shared" si="15"/>
        <v>811.20000000000016</v>
      </c>
      <c r="D232" s="16">
        <f t="shared" si="16"/>
        <v>1216.8000000000002</v>
      </c>
      <c r="E232" s="32">
        <f t="shared" si="14"/>
        <v>699.66000000000008</v>
      </c>
      <c r="F232" s="16">
        <f t="shared" si="17"/>
        <v>531.1332000000001</v>
      </c>
    </row>
    <row r="233" spans="1:6" s="17" customFormat="1" x14ac:dyDescent="0.25">
      <c r="A233" s="2" t="s">
        <v>216</v>
      </c>
      <c r="B233" s="13">
        <v>608.40000000000009</v>
      </c>
      <c r="C233" s="16">
        <f t="shared" si="15"/>
        <v>811.20000000000016</v>
      </c>
      <c r="D233" s="16">
        <f t="shared" si="16"/>
        <v>1216.8000000000002</v>
      </c>
      <c r="E233" s="32">
        <f t="shared" si="14"/>
        <v>699.66000000000008</v>
      </c>
      <c r="F233" s="16">
        <f t="shared" si="17"/>
        <v>531.1332000000001</v>
      </c>
    </row>
    <row r="234" spans="1:6" s="17" customFormat="1" x14ac:dyDescent="0.25">
      <c r="A234" s="2" t="s">
        <v>217</v>
      </c>
      <c r="B234" s="13">
        <v>608.40000000000009</v>
      </c>
      <c r="C234" s="16">
        <f t="shared" si="15"/>
        <v>811.20000000000016</v>
      </c>
      <c r="D234" s="16">
        <f t="shared" si="16"/>
        <v>1216.8000000000002</v>
      </c>
      <c r="E234" s="32">
        <f t="shared" si="14"/>
        <v>699.66000000000008</v>
      </c>
      <c r="F234" s="16">
        <f t="shared" si="17"/>
        <v>531.1332000000001</v>
      </c>
    </row>
    <row r="235" spans="1:6" s="17" customFormat="1" x14ac:dyDescent="0.25">
      <c r="A235" s="2" t="s">
        <v>218</v>
      </c>
      <c r="B235" s="13">
        <v>658.35</v>
      </c>
      <c r="C235" s="16">
        <f t="shared" si="15"/>
        <v>877.80000000000007</v>
      </c>
      <c r="D235" s="16">
        <f t="shared" si="16"/>
        <v>1316.7</v>
      </c>
      <c r="E235" s="32">
        <f t="shared" si="14"/>
        <v>757.10249999999996</v>
      </c>
      <c r="F235" s="16">
        <f t="shared" si="17"/>
        <v>574.73955000000001</v>
      </c>
    </row>
    <row r="236" spans="1:6" s="17" customFormat="1" x14ac:dyDescent="0.25">
      <c r="A236" s="2" t="s">
        <v>219</v>
      </c>
      <c r="B236" s="13">
        <v>658.35</v>
      </c>
      <c r="C236" s="16">
        <f t="shared" si="15"/>
        <v>877.80000000000007</v>
      </c>
      <c r="D236" s="16">
        <f t="shared" si="16"/>
        <v>1316.7</v>
      </c>
      <c r="E236" s="32">
        <f t="shared" si="14"/>
        <v>757.10249999999996</v>
      </c>
      <c r="F236" s="16">
        <f t="shared" si="17"/>
        <v>574.73955000000001</v>
      </c>
    </row>
    <row r="237" spans="1:6" s="17" customFormat="1" x14ac:dyDescent="0.25">
      <c r="A237" s="2" t="s">
        <v>220</v>
      </c>
      <c r="B237" s="13">
        <v>658.35</v>
      </c>
      <c r="C237" s="16">
        <f t="shared" si="15"/>
        <v>877.80000000000007</v>
      </c>
      <c r="D237" s="16">
        <f t="shared" si="16"/>
        <v>1316.7</v>
      </c>
      <c r="E237" s="32">
        <f t="shared" si="14"/>
        <v>757.10249999999996</v>
      </c>
      <c r="F237" s="16">
        <f t="shared" si="17"/>
        <v>574.73955000000001</v>
      </c>
    </row>
    <row r="238" spans="1:6" s="17" customFormat="1" x14ac:dyDescent="0.25">
      <c r="A238" s="2" t="s">
        <v>221</v>
      </c>
      <c r="B238" s="13">
        <v>310.05</v>
      </c>
      <c r="C238" s="16">
        <f t="shared" si="15"/>
        <v>413.40000000000003</v>
      </c>
      <c r="D238" s="16">
        <f t="shared" si="16"/>
        <v>620.1</v>
      </c>
      <c r="E238" s="32">
        <f t="shared" si="14"/>
        <v>356.5575</v>
      </c>
      <c r="F238" s="16">
        <f t="shared" si="17"/>
        <v>270.67365000000001</v>
      </c>
    </row>
    <row r="239" spans="1:6" s="17" customFormat="1" x14ac:dyDescent="0.25">
      <c r="A239" s="2" t="s">
        <v>222</v>
      </c>
      <c r="B239" s="13">
        <v>318.75</v>
      </c>
      <c r="C239" s="16">
        <f t="shared" si="15"/>
        <v>425</v>
      </c>
      <c r="D239" s="16">
        <f t="shared" si="16"/>
        <v>637.5</v>
      </c>
      <c r="E239" s="32">
        <f t="shared" si="14"/>
        <v>366.5625</v>
      </c>
      <c r="F239" s="16">
        <f t="shared" si="17"/>
        <v>278.26875000000001</v>
      </c>
    </row>
    <row r="240" spans="1:6" s="17" customFormat="1" x14ac:dyDescent="0.25">
      <c r="A240" s="2" t="s">
        <v>223</v>
      </c>
      <c r="B240" s="13">
        <v>318.75</v>
      </c>
      <c r="C240" s="16">
        <f t="shared" si="15"/>
        <v>425</v>
      </c>
      <c r="D240" s="16">
        <f t="shared" si="16"/>
        <v>637.5</v>
      </c>
      <c r="E240" s="32">
        <f t="shared" si="14"/>
        <v>366.5625</v>
      </c>
      <c r="F240" s="16">
        <f t="shared" si="17"/>
        <v>278.26875000000001</v>
      </c>
    </row>
    <row r="241" spans="1:6" s="17" customFormat="1" x14ac:dyDescent="0.25">
      <c r="A241" s="2" t="s">
        <v>224</v>
      </c>
      <c r="B241" s="13">
        <v>221.39999999999998</v>
      </c>
      <c r="C241" s="16">
        <f t="shared" si="15"/>
        <v>295.2</v>
      </c>
      <c r="D241" s="16">
        <f t="shared" si="16"/>
        <v>442.79999999999995</v>
      </c>
      <c r="E241" s="32">
        <f t="shared" si="14"/>
        <v>254.60999999999996</v>
      </c>
      <c r="F241" s="16">
        <f t="shared" si="17"/>
        <v>193.28219999999999</v>
      </c>
    </row>
    <row r="242" spans="1:6" s="17" customFormat="1" x14ac:dyDescent="0.25">
      <c r="A242" s="2" t="s">
        <v>225</v>
      </c>
      <c r="B242" s="13">
        <v>184.5</v>
      </c>
      <c r="C242" s="16">
        <f t="shared" si="15"/>
        <v>246</v>
      </c>
      <c r="D242" s="16">
        <f t="shared" si="16"/>
        <v>369</v>
      </c>
      <c r="E242" s="32">
        <f t="shared" si="14"/>
        <v>212.17499999999998</v>
      </c>
      <c r="F242" s="16">
        <f t="shared" si="17"/>
        <v>161.0685</v>
      </c>
    </row>
    <row r="243" spans="1:6" s="17" customFormat="1" x14ac:dyDescent="0.25">
      <c r="A243" s="2" t="s">
        <v>226</v>
      </c>
      <c r="B243" s="13">
        <v>9.4500000000000011</v>
      </c>
      <c r="C243" s="16">
        <f t="shared" si="15"/>
        <v>12.600000000000001</v>
      </c>
      <c r="D243" s="16">
        <f t="shared" si="16"/>
        <v>18.900000000000002</v>
      </c>
      <c r="E243" s="32">
        <f t="shared" si="14"/>
        <v>10.8675</v>
      </c>
      <c r="F243" s="16">
        <f t="shared" si="17"/>
        <v>8.2498500000000003</v>
      </c>
    </row>
    <row r="244" spans="1:6" s="17" customFormat="1" x14ac:dyDescent="0.25">
      <c r="A244" s="2" t="s">
        <v>227</v>
      </c>
      <c r="B244" s="13">
        <v>135</v>
      </c>
      <c r="C244" s="16">
        <f t="shared" si="15"/>
        <v>180</v>
      </c>
      <c r="D244" s="16">
        <f t="shared" si="16"/>
        <v>270</v>
      </c>
      <c r="E244" s="32">
        <f t="shared" si="14"/>
        <v>155.25</v>
      </c>
      <c r="F244" s="16">
        <f t="shared" si="17"/>
        <v>117.855</v>
      </c>
    </row>
    <row r="245" spans="1:6" s="17" customFormat="1" x14ac:dyDescent="0.25">
      <c r="A245" s="2" t="s">
        <v>228</v>
      </c>
      <c r="B245" s="13">
        <v>18.900000000000002</v>
      </c>
      <c r="C245" s="16">
        <f t="shared" si="15"/>
        <v>25.200000000000003</v>
      </c>
      <c r="D245" s="16">
        <f t="shared" si="16"/>
        <v>37.800000000000004</v>
      </c>
      <c r="E245" s="32">
        <f t="shared" si="14"/>
        <v>21.734999999999999</v>
      </c>
      <c r="F245" s="16">
        <f t="shared" si="17"/>
        <v>16.499700000000001</v>
      </c>
    </row>
    <row r="246" spans="1:6" s="17" customFormat="1" x14ac:dyDescent="0.25">
      <c r="A246" s="2" t="s">
        <v>229</v>
      </c>
      <c r="B246" s="13">
        <v>105.15</v>
      </c>
      <c r="C246" s="16">
        <f t="shared" si="15"/>
        <v>140.20000000000002</v>
      </c>
      <c r="D246" s="16">
        <f t="shared" si="16"/>
        <v>210.3</v>
      </c>
      <c r="E246" s="32">
        <f t="shared" si="14"/>
        <v>120.9225</v>
      </c>
      <c r="F246" s="16">
        <f t="shared" si="17"/>
        <v>91.795950000000005</v>
      </c>
    </row>
    <row r="247" spans="1:6" s="17" customFormat="1" x14ac:dyDescent="0.25">
      <c r="A247" s="2" t="s">
        <v>230</v>
      </c>
      <c r="B247" s="13">
        <v>62.400000000000006</v>
      </c>
      <c r="C247" s="16">
        <f t="shared" si="15"/>
        <v>83.2</v>
      </c>
      <c r="D247" s="16">
        <f t="shared" si="16"/>
        <v>124.80000000000001</v>
      </c>
      <c r="E247" s="32">
        <f t="shared" si="14"/>
        <v>71.760000000000005</v>
      </c>
      <c r="F247" s="16">
        <f t="shared" si="17"/>
        <v>54.475200000000008</v>
      </c>
    </row>
    <row r="248" spans="1:6" s="17" customFormat="1" x14ac:dyDescent="0.25">
      <c r="A248" s="2" t="s">
        <v>231</v>
      </c>
      <c r="B248" s="13">
        <v>18.75</v>
      </c>
      <c r="C248" s="16">
        <f t="shared" si="15"/>
        <v>25</v>
      </c>
      <c r="D248" s="16">
        <f t="shared" si="16"/>
        <v>37.5</v>
      </c>
      <c r="E248" s="32">
        <f t="shared" si="14"/>
        <v>21.5625</v>
      </c>
      <c r="F248" s="16">
        <f t="shared" si="17"/>
        <v>16.368749999999999</v>
      </c>
    </row>
    <row r="249" spans="1:6" s="17" customFormat="1" x14ac:dyDescent="0.25">
      <c r="A249" s="2" t="s">
        <v>232</v>
      </c>
      <c r="B249" s="13">
        <v>67.350000000000009</v>
      </c>
      <c r="C249" s="16">
        <f t="shared" si="15"/>
        <v>89.800000000000011</v>
      </c>
      <c r="D249" s="16">
        <f t="shared" si="16"/>
        <v>134.70000000000002</v>
      </c>
      <c r="E249" s="32">
        <f t="shared" si="14"/>
        <v>77.452500000000001</v>
      </c>
      <c r="F249" s="16">
        <f t="shared" si="17"/>
        <v>58.796550000000011</v>
      </c>
    </row>
    <row r="250" spans="1:6" s="17" customFormat="1" x14ac:dyDescent="0.25">
      <c r="A250" s="4">
        <v>532</v>
      </c>
      <c r="B250" s="13">
        <v>51.900000000000006</v>
      </c>
      <c r="C250" s="16">
        <f t="shared" si="15"/>
        <v>69.2</v>
      </c>
      <c r="D250" s="16">
        <f t="shared" si="16"/>
        <v>103.80000000000001</v>
      </c>
      <c r="E250" s="32">
        <f t="shared" si="14"/>
        <v>59.685000000000002</v>
      </c>
      <c r="F250" s="16">
        <f t="shared" si="17"/>
        <v>45.308700000000002</v>
      </c>
    </row>
    <row r="251" spans="1:6" s="17" customFormat="1" x14ac:dyDescent="0.25">
      <c r="A251" s="2" t="s">
        <v>233</v>
      </c>
      <c r="B251" s="13">
        <v>28.5</v>
      </c>
      <c r="C251" s="16">
        <f t="shared" si="15"/>
        <v>38</v>
      </c>
      <c r="D251" s="16">
        <f t="shared" si="16"/>
        <v>57</v>
      </c>
      <c r="E251" s="32">
        <f t="shared" si="14"/>
        <v>32.774999999999999</v>
      </c>
      <c r="F251" s="16">
        <f t="shared" si="17"/>
        <v>24.880500000000001</v>
      </c>
    </row>
    <row r="252" spans="1:6" s="17" customFormat="1" x14ac:dyDescent="0.25">
      <c r="A252" s="4">
        <v>5416</v>
      </c>
      <c r="B252" s="13">
        <v>28.5</v>
      </c>
      <c r="C252" s="16">
        <f t="shared" si="15"/>
        <v>38</v>
      </c>
      <c r="D252" s="16">
        <f t="shared" si="16"/>
        <v>57</v>
      </c>
      <c r="E252" s="32">
        <f t="shared" si="14"/>
        <v>32.774999999999999</v>
      </c>
      <c r="F252" s="16">
        <f t="shared" si="17"/>
        <v>24.880500000000001</v>
      </c>
    </row>
    <row r="253" spans="1:6" s="17" customFormat="1" x14ac:dyDescent="0.25">
      <c r="A253" s="2" t="s">
        <v>234</v>
      </c>
      <c r="B253" s="13">
        <v>15.150000000000002</v>
      </c>
      <c r="C253" s="16">
        <f t="shared" si="15"/>
        <v>20.200000000000003</v>
      </c>
      <c r="D253" s="16">
        <f t="shared" si="16"/>
        <v>30.300000000000004</v>
      </c>
      <c r="E253" s="32">
        <f t="shared" si="14"/>
        <v>17.422499999999999</v>
      </c>
      <c r="F253" s="16">
        <f t="shared" si="17"/>
        <v>13.225950000000001</v>
      </c>
    </row>
    <row r="254" spans="1:6" s="17" customFormat="1" x14ac:dyDescent="0.25">
      <c r="A254" s="4">
        <v>5426</v>
      </c>
      <c r="B254" s="13">
        <v>15.15</v>
      </c>
      <c r="C254" s="16">
        <f t="shared" si="15"/>
        <v>20.2</v>
      </c>
      <c r="D254" s="16">
        <f t="shared" si="16"/>
        <v>30.3</v>
      </c>
      <c r="E254" s="32">
        <f t="shared" si="14"/>
        <v>17.422499999999999</v>
      </c>
      <c r="F254" s="16">
        <f t="shared" si="17"/>
        <v>13.225950000000001</v>
      </c>
    </row>
    <row r="255" spans="1:6" s="17" customFormat="1" x14ac:dyDescent="0.25">
      <c r="A255" s="2" t="s">
        <v>235</v>
      </c>
      <c r="B255" s="13">
        <v>30.6</v>
      </c>
      <c r="C255" s="16">
        <f t="shared" si="15"/>
        <v>40.800000000000004</v>
      </c>
      <c r="D255" s="16">
        <f t="shared" si="16"/>
        <v>61.2</v>
      </c>
      <c r="E255" s="32">
        <f t="shared" si="14"/>
        <v>35.19</v>
      </c>
      <c r="F255" s="16">
        <f t="shared" si="17"/>
        <v>26.713800000000003</v>
      </c>
    </row>
    <row r="256" spans="1:6" s="17" customFormat="1" x14ac:dyDescent="0.25">
      <c r="A256" s="4">
        <v>5436</v>
      </c>
      <c r="B256" s="13">
        <v>30.6</v>
      </c>
      <c r="C256" s="16">
        <f t="shared" si="15"/>
        <v>40.800000000000004</v>
      </c>
      <c r="D256" s="16">
        <f t="shared" si="16"/>
        <v>61.2</v>
      </c>
      <c r="E256" s="32">
        <f t="shared" si="14"/>
        <v>35.19</v>
      </c>
      <c r="F256" s="16">
        <f t="shared" si="17"/>
        <v>26.713800000000003</v>
      </c>
    </row>
    <row r="257" spans="1:6" s="17" customFormat="1" x14ac:dyDescent="0.25">
      <c r="A257" s="2" t="s">
        <v>236</v>
      </c>
      <c r="B257" s="13">
        <v>59.400000000000006</v>
      </c>
      <c r="C257" s="16">
        <f t="shared" si="15"/>
        <v>79.2</v>
      </c>
      <c r="D257" s="16">
        <f t="shared" si="16"/>
        <v>118.80000000000001</v>
      </c>
      <c r="E257" s="32">
        <f t="shared" si="14"/>
        <v>68.31</v>
      </c>
      <c r="F257" s="16">
        <f t="shared" si="17"/>
        <v>51.856200000000008</v>
      </c>
    </row>
    <row r="258" spans="1:6" s="17" customFormat="1" x14ac:dyDescent="0.25">
      <c r="A258" s="4">
        <v>5446</v>
      </c>
      <c r="B258" s="13">
        <v>59.4</v>
      </c>
      <c r="C258" s="16">
        <f t="shared" si="15"/>
        <v>79.2</v>
      </c>
      <c r="D258" s="16">
        <f t="shared" si="16"/>
        <v>118.8</v>
      </c>
      <c r="E258" s="32">
        <f t="shared" si="14"/>
        <v>68.309999999999988</v>
      </c>
      <c r="F258" s="16">
        <f t="shared" si="17"/>
        <v>51.856200000000001</v>
      </c>
    </row>
    <row r="259" spans="1:6" s="17" customFormat="1" x14ac:dyDescent="0.25">
      <c r="A259" s="4" t="s">
        <v>237</v>
      </c>
      <c r="B259" s="13">
        <v>41.400000000000006</v>
      </c>
      <c r="C259" s="16">
        <f t="shared" si="15"/>
        <v>55.20000000000001</v>
      </c>
      <c r="D259" s="16">
        <f t="shared" si="16"/>
        <v>82.800000000000011</v>
      </c>
      <c r="E259" s="32">
        <f t="shared" si="14"/>
        <v>47.61</v>
      </c>
      <c r="F259" s="16">
        <f t="shared" si="17"/>
        <v>36.142200000000003</v>
      </c>
    </row>
    <row r="260" spans="1:6" s="17" customFormat="1" x14ac:dyDescent="0.25">
      <c r="A260" s="4" t="s">
        <v>878</v>
      </c>
      <c r="B260" s="13">
        <v>41.4</v>
      </c>
      <c r="C260" s="16">
        <f t="shared" si="15"/>
        <v>55.199999999999996</v>
      </c>
      <c r="D260" s="16">
        <f t="shared" si="16"/>
        <v>82.8</v>
      </c>
      <c r="E260" s="32">
        <f t="shared" si="14"/>
        <v>47.609999999999992</v>
      </c>
      <c r="F260" s="16">
        <f t="shared" si="17"/>
        <v>36.142199999999995</v>
      </c>
    </row>
    <row r="261" spans="1:6" s="17" customFormat="1" x14ac:dyDescent="0.25">
      <c r="A261" s="4" t="s">
        <v>238</v>
      </c>
      <c r="B261" s="13">
        <v>44.7</v>
      </c>
      <c r="C261" s="16">
        <f t="shared" si="15"/>
        <v>59.6</v>
      </c>
      <c r="D261" s="16">
        <f t="shared" si="16"/>
        <v>89.4</v>
      </c>
      <c r="E261" s="32">
        <f t="shared" si="14"/>
        <v>51.405000000000001</v>
      </c>
      <c r="F261" s="16">
        <f t="shared" si="17"/>
        <v>39.023099999999999</v>
      </c>
    </row>
    <row r="262" spans="1:6" s="17" customFormat="1" x14ac:dyDescent="0.25">
      <c r="A262" s="4" t="s">
        <v>879</v>
      </c>
      <c r="B262" s="13">
        <v>44.7</v>
      </c>
      <c r="C262" s="16">
        <f t="shared" si="15"/>
        <v>59.6</v>
      </c>
      <c r="D262" s="16">
        <f t="shared" si="16"/>
        <v>89.4</v>
      </c>
      <c r="E262" s="32">
        <f t="shared" si="14"/>
        <v>51.405000000000001</v>
      </c>
      <c r="F262" s="16">
        <f t="shared" si="17"/>
        <v>39.023099999999999</v>
      </c>
    </row>
    <row r="263" spans="1:6" s="17" customFormat="1" x14ac:dyDescent="0.25">
      <c r="A263" s="2" t="s">
        <v>239</v>
      </c>
      <c r="B263" s="13">
        <v>17.55</v>
      </c>
      <c r="C263" s="16">
        <f t="shared" si="15"/>
        <v>23.400000000000002</v>
      </c>
      <c r="D263" s="16">
        <f t="shared" si="16"/>
        <v>35.1</v>
      </c>
      <c r="E263" s="32">
        <f t="shared" si="14"/>
        <v>20.182500000000001</v>
      </c>
      <c r="F263" s="16">
        <f t="shared" si="17"/>
        <v>15.321150000000001</v>
      </c>
    </row>
    <row r="264" spans="1:6" s="17" customFormat="1" x14ac:dyDescent="0.25">
      <c r="A264" s="2" t="s">
        <v>240</v>
      </c>
      <c r="B264" s="13">
        <v>21</v>
      </c>
      <c r="C264" s="16">
        <f t="shared" si="15"/>
        <v>28</v>
      </c>
      <c r="D264" s="16">
        <f t="shared" si="16"/>
        <v>42</v>
      </c>
      <c r="E264" s="32">
        <f t="shared" si="14"/>
        <v>24.15</v>
      </c>
      <c r="F264" s="16">
        <f t="shared" si="17"/>
        <v>18.332999999999998</v>
      </c>
    </row>
    <row r="265" spans="1:6" s="17" customFormat="1" x14ac:dyDescent="0.25">
      <c r="A265" s="2" t="s">
        <v>241</v>
      </c>
      <c r="B265" s="13">
        <v>25.049999999999997</v>
      </c>
      <c r="C265" s="16">
        <f t="shared" si="15"/>
        <v>33.4</v>
      </c>
      <c r="D265" s="16">
        <f t="shared" si="16"/>
        <v>50.099999999999994</v>
      </c>
      <c r="E265" s="32">
        <f t="shared" si="14"/>
        <v>28.807499999999994</v>
      </c>
      <c r="F265" s="16">
        <f t="shared" si="17"/>
        <v>21.868649999999999</v>
      </c>
    </row>
    <row r="266" spans="1:6" s="17" customFormat="1" x14ac:dyDescent="0.25">
      <c r="A266" s="2" t="s">
        <v>242</v>
      </c>
      <c r="B266" s="13">
        <v>27.75</v>
      </c>
      <c r="C266" s="16">
        <f t="shared" si="15"/>
        <v>37</v>
      </c>
      <c r="D266" s="16">
        <f t="shared" si="16"/>
        <v>55.5</v>
      </c>
      <c r="E266" s="32">
        <f t="shared" si="14"/>
        <v>31.912499999999998</v>
      </c>
      <c r="F266" s="16">
        <f t="shared" si="17"/>
        <v>24.225750000000001</v>
      </c>
    </row>
    <row r="267" spans="1:6" s="17" customFormat="1" x14ac:dyDescent="0.25">
      <c r="A267" s="2" t="s">
        <v>243</v>
      </c>
      <c r="B267" s="13">
        <v>15.900000000000002</v>
      </c>
      <c r="C267" s="16">
        <f t="shared" si="15"/>
        <v>21.200000000000003</v>
      </c>
      <c r="D267" s="16">
        <f t="shared" si="16"/>
        <v>31.800000000000004</v>
      </c>
      <c r="E267" s="32">
        <f t="shared" ref="E267:E330" si="18">B267*1.15</f>
        <v>18.285</v>
      </c>
      <c r="F267" s="16">
        <f t="shared" si="17"/>
        <v>13.880700000000003</v>
      </c>
    </row>
    <row r="268" spans="1:6" s="17" customFormat="1" x14ac:dyDescent="0.25">
      <c r="A268" s="2" t="s">
        <v>244</v>
      </c>
      <c r="B268" s="13">
        <v>19.950000000000003</v>
      </c>
      <c r="C268" s="16">
        <f t="shared" si="15"/>
        <v>26.600000000000005</v>
      </c>
      <c r="D268" s="16">
        <f t="shared" si="16"/>
        <v>39.900000000000006</v>
      </c>
      <c r="E268" s="32">
        <f t="shared" si="18"/>
        <v>22.942500000000003</v>
      </c>
      <c r="F268" s="16">
        <f t="shared" si="17"/>
        <v>17.416350000000001</v>
      </c>
    </row>
    <row r="269" spans="1:6" s="17" customFormat="1" x14ac:dyDescent="0.25">
      <c r="A269" s="2" t="s">
        <v>245</v>
      </c>
      <c r="B269" s="13">
        <v>22.200000000000003</v>
      </c>
      <c r="C269" s="16">
        <f t="shared" ref="C269:C335" si="19">B269/0.75</f>
        <v>29.600000000000005</v>
      </c>
      <c r="D269" s="16">
        <f t="shared" ref="D269:D335" si="20">B269*2</f>
        <v>44.400000000000006</v>
      </c>
      <c r="E269" s="32">
        <f t="shared" si="18"/>
        <v>25.53</v>
      </c>
      <c r="F269" s="16">
        <f t="shared" si="17"/>
        <v>19.380600000000001</v>
      </c>
    </row>
    <row r="270" spans="1:6" s="17" customFormat="1" x14ac:dyDescent="0.25">
      <c r="A270" s="2" t="s">
        <v>246</v>
      </c>
      <c r="B270" s="13">
        <v>25.200000000000003</v>
      </c>
      <c r="C270" s="16">
        <f t="shared" si="19"/>
        <v>33.6</v>
      </c>
      <c r="D270" s="16">
        <f t="shared" si="20"/>
        <v>50.400000000000006</v>
      </c>
      <c r="E270" s="32">
        <f t="shared" si="18"/>
        <v>28.98</v>
      </c>
      <c r="F270" s="16">
        <f t="shared" si="17"/>
        <v>21.999600000000001</v>
      </c>
    </row>
    <row r="271" spans="1:6" s="17" customFormat="1" x14ac:dyDescent="0.25">
      <c r="A271" s="2" t="s">
        <v>247</v>
      </c>
      <c r="B271" s="13">
        <v>80.25</v>
      </c>
      <c r="C271" s="16">
        <f t="shared" si="19"/>
        <v>107</v>
      </c>
      <c r="D271" s="16">
        <f t="shared" si="20"/>
        <v>160.5</v>
      </c>
      <c r="E271" s="32">
        <f t="shared" si="18"/>
        <v>92.287499999999994</v>
      </c>
      <c r="F271" s="16">
        <f t="shared" si="17"/>
        <v>70.058250000000001</v>
      </c>
    </row>
    <row r="272" spans="1:6" s="17" customFormat="1" x14ac:dyDescent="0.25">
      <c r="A272" s="2" t="s">
        <v>248</v>
      </c>
      <c r="B272" s="13">
        <v>86.850000000000009</v>
      </c>
      <c r="C272" s="16">
        <f t="shared" si="19"/>
        <v>115.80000000000001</v>
      </c>
      <c r="D272" s="16">
        <f t="shared" si="20"/>
        <v>173.70000000000002</v>
      </c>
      <c r="E272" s="32">
        <f t="shared" si="18"/>
        <v>99.877499999999998</v>
      </c>
      <c r="F272" s="16">
        <f t="shared" si="17"/>
        <v>75.820050000000009</v>
      </c>
    </row>
    <row r="273" spans="1:6" s="17" customFormat="1" x14ac:dyDescent="0.25">
      <c r="A273" s="2" t="s">
        <v>249</v>
      </c>
      <c r="B273" s="13">
        <v>36</v>
      </c>
      <c r="C273" s="16">
        <f t="shared" si="19"/>
        <v>48</v>
      </c>
      <c r="D273" s="16">
        <f t="shared" si="20"/>
        <v>72</v>
      </c>
      <c r="E273" s="32">
        <f t="shared" si="18"/>
        <v>41.4</v>
      </c>
      <c r="F273" s="16">
        <f t="shared" si="17"/>
        <v>31.428000000000001</v>
      </c>
    </row>
    <row r="274" spans="1:6" s="17" customFormat="1" x14ac:dyDescent="0.25">
      <c r="A274" s="37" t="s">
        <v>402</v>
      </c>
      <c r="B274" s="38"/>
      <c r="C274" s="38"/>
      <c r="D274" s="38"/>
      <c r="E274" s="38"/>
      <c r="F274" s="39"/>
    </row>
    <row r="275" spans="1:6" s="17" customFormat="1" x14ac:dyDescent="0.25">
      <c r="A275" s="2" t="s">
        <v>250</v>
      </c>
      <c r="B275" s="13">
        <v>246.60000000000002</v>
      </c>
      <c r="C275" s="16">
        <f t="shared" si="19"/>
        <v>328.8</v>
      </c>
      <c r="D275" s="16">
        <f t="shared" si="20"/>
        <v>493.20000000000005</v>
      </c>
      <c r="E275" s="32">
        <f t="shared" si="18"/>
        <v>283.59000000000003</v>
      </c>
      <c r="F275" s="16">
        <f>B275*0.873</f>
        <v>215.28180000000003</v>
      </c>
    </row>
    <row r="276" spans="1:6" s="17" customFormat="1" x14ac:dyDescent="0.25">
      <c r="A276" s="2" t="s">
        <v>251</v>
      </c>
      <c r="B276" s="13">
        <v>1173.1500000000001</v>
      </c>
      <c r="C276" s="16">
        <f t="shared" si="19"/>
        <v>1564.2</v>
      </c>
      <c r="D276" s="16">
        <f t="shared" si="20"/>
        <v>2346.3000000000002</v>
      </c>
      <c r="E276" s="32">
        <f t="shared" si="18"/>
        <v>1349.1224999999999</v>
      </c>
      <c r="F276" s="16">
        <f t="shared" ref="F276:F280" si="21">B276*0.873</f>
        <v>1024.15995</v>
      </c>
    </row>
    <row r="277" spans="1:6" s="17" customFormat="1" x14ac:dyDescent="0.25">
      <c r="A277" s="2" t="s">
        <v>252</v>
      </c>
      <c r="B277" s="13">
        <v>1427.1000000000001</v>
      </c>
      <c r="C277" s="16">
        <f t="shared" si="19"/>
        <v>1902.8000000000002</v>
      </c>
      <c r="D277" s="16">
        <f t="shared" si="20"/>
        <v>2854.2000000000003</v>
      </c>
      <c r="E277" s="32">
        <f t="shared" si="18"/>
        <v>1641.165</v>
      </c>
      <c r="F277" s="16">
        <f t="shared" si="21"/>
        <v>1245.8583000000001</v>
      </c>
    </row>
    <row r="278" spans="1:6" s="17" customFormat="1" x14ac:dyDescent="0.25">
      <c r="A278" s="2" t="s">
        <v>253</v>
      </c>
      <c r="B278" s="13">
        <v>246.60000000000002</v>
      </c>
      <c r="C278" s="16">
        <f t="shared" si="19"/>
        <v>328.8</v>
      </c>
      <c r="D278" s="16">
        <f t="shared" si="20"/>
        <v>493.20000000000005</v>
      </c>
      <c r="E278" s="32">
        <f t="shared" si="18"/>
        <v>283.59000000000003</v>
      </c>
      <c r="F278" s="16">
        <f t="shared" si="21"/>
        <v>215.28180000000003</v>
      </c>
    </row>
    <row r="279" spans="1:6" s="17" customFormat="1" x14ac:dyDescent="0.25">
      <c r="A279" s="2" t="s">
        <v>254</v>
      </c>
      <c r="B279" s="13">
        <v>467.25</v>
      </c>
      <c r="C279" s="16">
        <f t="shared" si="19"/>
        <v>623</v>
      </c>
      <c r="D279" s="16">
        <f t="shared" si="20"/>
        <v>934.5</v>
      </c>
      <c r="E279" s="32">
        <f t="shared" si="18"/>
        <v>537.33749999999998</v>
      </c>
      <c r="F279" s="16">
        <f t="shared" si="21"/>
        <v>407.90924999999999</v>
      </c>
    </row>
    <row r="280" spans="1:6" s="17" customFormat="1" x14ac:dyDescent="0.25">
      <c r="A280" s="2" t="s">
        <v>255</v>
      </c>
      <c r="B280" s="13">
        <v>467.25</v>
      </c>
      <c r="C280" s="16">
        <f t="shared" si="19"/>
        <v>623</v>
      </c>
      <c r="D280" s="16">
        <f t="shared" si="20"/>
        <v>934.5</v>
      </c>
      <c r="E280" s="32">
        <f t="shared" si="18"/>
        <v>537.33749999999998</v>
      </c>
      <c r="F280" s="16">
        <f t="shared" si="21"/>
        <v>407.90924999999999</v>
      </c>
    </row>
    <row r="281" spans="1:6" s="17" customFormat="1" x14ac:dyDescent="0.25">
      <c r="A281" s="37" t="s">
        <v>256</v>
      </c>
      <c r="B281" s="38"/>
      <c r="C281" s="38"/>
      <c r="D281" s="38"/>
      <c r="E281" s="38"/>
      <c r="F281" s="39"/>
    </row>
    <row r="282" spans="1:6" s="17" customFormat="1" x14ac:dyDescent="0.25">
      <c r="A282" s="2" t="s">
        <v>257</v>
      </c>
      <c r="B282" s="13">
        <v>28.5</v>
      </c>
      <c r="C282" s="16">
        <f t="shared" si="19"/>
        <v>38</v>
      </c>
      <c r="D282" s="16">
        <f t="shared" si="20"/>
        <v>57</v>
      </c>
      <c r="E282" s="32">
        <f t="shared" si="18"/>
        <v>32.774999999999999</v>
      </c>
      <c r="F282" s="16">
        <f>B282*0.873</f>
        <v>24.880500000000001</v>
      </c>
    </row>
    <row r="283" spans="1:6" s="17" customFormat="1" x14ac:dyDescent="0.25">
      <c r="A283" s="2" t="s">
        <v>258</v>
      </c>
      <c r="B283" s="13">
        <v>25.799999999999997</v>
      </c>
      <c r="C283" s="16">
        <f t="shared" si="19"/>
        <v>34.4</v>
      </c>
      <c r="D283" s="16">
        <f t="shared" si="20"/>
        <v>51.599999999999994</v>
      </c>
      <c r="E283" s="32">
        <f t="shared" si="18"/>
        <v>29.669999999999995</v>
      </c>
      <c r="F283" s="16">
        <f t="shared" ref="F283:F326" si="22">B283*0.873</f>
        <v>22.523399999999999</v>
      </c>
    </row>
    <row r="284" spans="1:6" s="17" customFormat="1" x14ac:dyDescent="0.25">
      <c r="A284" s="2" t="s">
        <v>259</v>
      </c>
      <c r="B284" s="13">
        <v>25.799999999999997</v>
      </c>
      <c r="C284" s="16">
        <f t="shared" si="19"/>
        <v>34.4</v>
      </c>
      <c r="D284" s="16">
        <f t="shared" si="20"/>
        <v>51.599999999999994</v>
      </c>
      <c r="E284" s="32">
        <f t="shared" si="18"/>
        <v>29.669999999999995</v>
      </c>
      <c r="F284" s="16">
        <f t="shared" si="22"/>
        <v>22.523399999999999</v>
      </c>
    </row>
    <row r="285" spans="1:6" s="17" customFormat="1" x14ac:dyDescent="0.25">
      <c r="A285" s="2" t="s">
        <v>260</v>
      </c>
      <c r="B285" s="13">
        <v>37.800000000000004</v>
      </c>
      <c r="C285" s="16">
        <f t="shared" si="19"/>
        <v>50.400000000000006</v>
      </c>
      <c r="D285" s="16">
        <f t="shared" si="20"/>
        <v>75.600000000000009</v>
      </c>
      <c r="E285" s="32">
        <f t="shared" si="18"/>
        <v>43.47</v>
      </c>
      <c r="F285" s="16">
        <f t="shared" si="22"/>
        <v>32.999400000000001</v>
      </c>
    </row>
    <row r="286" spans="1:6" s="17" customFormat="1" x14ac:dyDescent="0.25">
      <c r="A286" s="2" t="s">
        <v>261</v>
      </c>
      <c r="B286" s="13">
        <v>56.550000000000004</v>
      </c>
      <c r="C286" s="16">
        <f t="shared" si="19"/>
        <v>75.400000000000006</v>
      </c>
      <c r="D286" s="16">
        <f t="shared" si="20"/>
        <v>113.10000000000001</v>
      </c>
      <c r="E286" s="32">
        <f t="shared" si="18"/>
        <v>65.032499999999999</v>
      </c>
      <c r="F286" s="16">
        <f t="shared" si="22"/>
        <v>49.368150000000007</v>
      </c>
    </row>
    <row r="287" spans="1:6" s="17" customFormat="1" x14ac:dyDescent="0.25">
      <c r="A287" s="2" t="s">
        <v>262</v>
      </c>
      <c r="B287" s="13">
        <v>56.550000000000004</v>
      </c>
      <c r="C287" s="16">
        <f t="shared" si="19"/>
        <v>75.400000000000006</v>
      </c>
      <c r="D287" s="16">
        <f t="shared" si="20"/>
        <v>113.10000000000001</v>
      </c>
      <c r="E287" s="32">
        <f t="shared" si="18"/>
        <v>65.032499999999999</v>
      </c>
      <c r="F287" s="16">
        <f t="shared" si="22"/>
        <v>49.368150000000007</v>
      </c>
    </row>
    <row r="288" spans="1:6" s="17" customFormat="1" x14ac:dyDescent="0.25">
      <c r="A288" s="2" t="s">
        <v>263</v>
      </c>
      <c r="B288" s="13">
        <v>16.5</v>
      </c>
      <c r="C288" s="16">
        <f t="shared" si="19"/>
        <v>22</v>
      </c>
      <c r="D288" s="16">
        <f t="shared" si="20"/>
        <v>33</v>
      </c>
      <c r="E288" s="32">
        <f t="shared" si="18"/>
        <v>18.974999999999998</v>
      </c>
      <c r="F288" s="16">
        <f t="shared" si="22"/>
        <v>14.404500000000001</v>
      </c>
    </row>
    <row r="289" spans="1:6" s="17" customFormat="1" x14ac:dyDescent="0.25">
      <c r="A289" s="2" t="s">
        <v>264</v>
      </c>
      <c r="B289" s="13">
        <v>16.5</v>
      </c>
      <c r="C289" s="16">
        <f t="shared" si="19"/>
        <v>22</v>
      </c>
      <c r="D289" s="16">
        <f t="shared" si="20"/>
        <v>33</v>
      </c>
      <c r="E289" s="32">
        <f t="shared" si="18"/>
        <v>18.974999999999998</v>
      </c>
      <c r="F289" s="16">
        <f t="shared" si="22"/>
        <v>14.404500000000001</v>
      </c>
    </row>
    <row r="290" spans="1:6" s="17" customFormat="1" x14ac:dyDescent="0.25">
      <c r="A290" s="2" t="s">
        <v>265</v>
      </c>
      <c r="B290" s="13">
        <v>16.5</v>
      </c>
      <c r="C290" s="16">
        <f t="shared" si="19"/>
        <v>22</v>
      </c>
      <c r="D290" s="16">
        <f t="shared" si="20"/>
        <v>33</v>
      </c>
      <c r="E290" s="32">
        <f t="shared" si="18"/>
        <v>18.974999999999998</v>
      </c>
      <c r="F290" s="16">
        <f t="shared" si="22"/>
        <v>14.404500000000001</v>
      </c>
    </row>
    <row r="291" spans="1:6" s="17" customFormat="1" x14ac:dyDescent="0.25">
      <c r="A291" s="2" t="s">
        <v>266</v>
      </c>
      <c r="B291" s="13">
        <v>16.5</v>
      </c>
      <c r="C291" s="16">
        <f t="shared" si="19"/>
        <v>22</v>
      </c>
      <c r="D291" s="16">
        <f t="shared" si="20"/>
        <v>33</v>
      </c>
      <c r="E291" s="32">
        <f t="shared" si="18"/>
        <v>18.974999999999998</v>
      </c>
      <c r="F291" s="16">
        <f t="shared" si="22"/>
        <v>14.404500000000001</v>
      </c>
    </row>
    <row r="292" spans="1:6" s="17" customFormat="1" x14ac:dyDescent="0.25">
      <c r="A292" s="2" t="s">
        <v>267</v>
      </c>
      <c r="B292" s="13">
        <v>19.650000000000002</v>
      </c>
      <c r="C292" s="16">
        <f t="shared" si="19"/>
        <v>26.200000000000003</v>
      </c>
      <c r="D292" s="16">
        <f t="shared" si="20"/>
        <v>39.300000000000004</v>
      </c>
      <c r="E292" s="32">
        <f t="shared" si="18"/>
        <v>22.5975</v>
      </c>
      <c r="F292" s="16">
        <f t="shared" si="22"/>
        <v>17.154450000000001</v>
      </c>
    </row>
    <row r="293" spans="1:6" s="17" customFormat="1" x14ac:dyDescent="0.25">
      <c r="A293" s="2" t="s">
        <v>268</v>
      </c>
      <c r="B293" s="13">
        <v>19.650000000000002</v>
      </c>
      <c r="C293" s="16">
        <f t="shared" si="19"/>
        <v>26.200000000000003</v>
      </c>
      <c r="D293" s="16">
        <f t="shared" si="20"/>
        <v>39.300000000000004</v>
      </c>
      <c r="E293" s="32">
        <f t="shared" si="18"/>
        <v>22.5975</v>
      </c>
      <c r="F293" s="16">
        <f t="shared" si="22"/>
        <v>17.154450000000001</v>
      </c>
    </row>
    <row r="294" spans="1:6" s="17" customFormat="1" x14ac:dyDescent="0.25">
      <c r="A294" s="2" t="s">
        <v>269</v>
      </c>
      <c r="B294" s="13">
        <v>34.800000000000004</v>
      </c>
      <c r="C294" s="16">
        <f t="shared" si="19"/>
        <v>46.400000000000006</v>
      </c>
      <c r="D294" s="16">
        <f t="shared" si="20"/>
        <v>69.600000000000009</v>
      </c>
      <c r="E294" s="32">
        <f t="shared" si="18"/>
        <v>40.020000000000003</v>
      </c>
      <c r="F294" s="16">
        <f t="shared" si="22"/>
        <v>30.380400000000005</v>
      </c>
    </row>
    <row r="295" spans="1:6" s="17" customFormat="1" x14ac:dyDescent="0.25">
      <c r="A295" s="2" t="s">
        <v>270</v>
      </c>
      <c r="B295" s="13">
        <v>37.35</v>
      </c>
      <c r="C295" s="16">
        <f t="shared" si="19"/>
        <v>49.800000000000004</v>
      </c>
      <c r="D295" s="16">
        <f t="shared" si="20"/>
        <v>74.7</v>
      </c>
      <c r="E295" s="32">
        <f t="shared" si="18"/>
        <v>42.952500000000001</v>
      </c>
      <c r="F295" s="16">
        <f t="shared" si="22"/>
        <v>32.606549999999999</v>
      </c>
    </row>
    <row r="296" spans="1:6" s="17" customFormat="1" x14ac:dyDescent="0.25">
      <c r="A296" s="2" t="s">
        <v>271</v>
      </c>
      <c r="B296" s="13">
        <v>37.35</v>
      </c>
      <c r="C296" s="16">
        <f t="shared" si="19"/>
        <v>49.800000000000004</v>
      </c>
      <c r="D296" s="16">
        <f t="shared" si="20"/>
        <v>74.7</v>
      </c>
      <c r="E296" s="32">
        <f t="shared" si="18"/>
        <v>42.952500000000001</v>
      </c>
      <c r="F296" s="16">
        <f t="shared" si="22"/>
        <v>32.606549999999999</v>
      </c>
    </row>
    <row r="297" spans="1:6" s="17" customFormat="1" x14ac:dyDescent="0.25">
      <c r="A297" s="2" t="s">
        <v>272</v>
      </c>
      <c r="B297" s="13">
        <v>36.75</v>
      </c>
      <c r="C297" s="16">
        <f t="shared" si="19"/>
        <v>49</v>
      </c>
      <c r="D297" s="16">
        <f t="shared" si="20"/>
        <v>73.5</v>
      </c>
      <c r="E297" s="32">
        <f t="shared" si="18"/>
        <v>42.262499999999996</v>
      </c>
      <c r="F297" s="16">
        <f t="shared" si="22"/>
        <v>32.082749999999997</v>
      </c>
    </row>
    <row r="298" spans="1:6" s="17" customFormat="1" x14ac:dyDescent="0.25">
      <c r="A298" s="2" t="s">
        <v>273</v>
      </c>
      <c r="B298" s="13">
        <v>39</v>
      </c>
      <c r="C298" s="16">
        <f t="shared" si="19"/>
        <v>52</v>
      </c>
      <c r="D298" s="16">
        <f t="shared" si="20"/>
        <v>78</v>
      </c>
      <c r="E298" s="32">
        <f t="shared" si="18"/>
        <v>44.849999999999994</v>
      </c>
      <c r="F298" s="16">
        <f t="shared" si="22"/>
        <v>34.046999999999997</v>
      </c>
    </row>
    <row r="299" spans="1:6" s="17" customFormat="1" x14ac:dyDescent="0.25">
      <c r="A299" s="2" t="s">
        <v>274</v>
      </c>
      <c r="B299" s="13">
        <v>39</v>
      </c>
      <c r="C299" s="16">
        <f t="shared" si="19"/>
        <v>52</v>
      </c>
      <c r="D299" s="16">
        <f t="shared" si="20"/>
        <v>78</v>
      </c>
      <c r="E299" s="32">
        <f t="shared" si="18"/>
        <v>44.849999999999994</v>
      </c>
      <c r="F299" s="16">
        <f t="shared" si="22"/>
        <v>34.046999999999997</v>
      </c>
    </row>
    <row r="300" spans="1:6" s="17" customFormat="1" x14ac:dyDescent="0.25">
      <c r="A300" s="2" t="s">
        <v>275</v>
      </c>
      <c r="B300" s="13">
        <v>93.45</v>
      </c>
      <c r="C300" s="16">
        <f t="shared" si="19"/>
        <v>124.60000000000001</v>
      </c>
      <c r="D300" s="16">
        <f t="shared" si="20"/>
        <v>186.9</v>
      </c>
      <c r="E300" s="32">
        <f t="shared" si="18"/>
        <v>107.4675</v>
      </c>
      <c r="F300" s="16">
        <f t="shared" si="22"/>
        <v>81.581850000000003</v>
      </c>
    </row>
    <row r="301" spans="1:6" s="17" customFormat="1" x14ac:dyDescent="0.25">
      <c r="A301" s="2" t="s">
        <v>276</v>
      </c>
      <c r="B301" s="13">
        <v>18.600000000000001</v>
      </c>
      <c r="C301" s="16">
        <f t="shared" si="19"/>
        <v>24.8</v>
      </c>
      <c r="D301" s="16">
        <f t="shared" si="20"/>
        <v>37.200000000000003</v>
      </c>
      <c r="E301" s="32">
        <f t="shared" si="18"/>
        <v>21.39</v>
      </c>
      <c r="F301" s="16">
        <f t="shared" si="22"/>
        <v>16.2378</v>
      </c>
    </row>
    <row r="302" spans="1:6" s="17" customFormat="1" x14ac:dyDescent="0.25">
      <c r="A302" s="2" t="s">
        <v>277</v>
      </c>
      <c r="B302" s="13">
        <v>18.600000000000001</v>
      </c>
      <c r="C302" s="16">
        <f t="shared" si="19"/>
        <v>24.8</v>
      </c>
      <c r="D302" s="16">
        <f t="shared" si="20"/>
        <v>37.200000000000003</v>
      </c>
      <c r="E302" s="32">
        <f t="shared" si="18"/>
        <v>21.39</v>
      </c>
      <c r="F302" s="16">
        <f t="shared" si="22"/>
        <v>16.2378</v>
      </c>
    </row>
    <row r="303" spans="1:6" s="17" customFormat="1" x14ac:dyDescent="0.25">
      <c r="A303" s="2" t="s">
        <v>278</v>
      </c>
      <c r="B303" s="13">
        <v>26.400000000000002</v>
      </c>
      <c r="C303" s="16">
        <f t="shared" si="19"/>
        <v>35.200000000000003</v>
      </c>
      <c r="D303" s="16">
        <f t="shared" si="20"/>
        <v>52.800000000000004</v>
      </c>
      <c r="E303" s="32">
        <f t="shared" si="18"/>
        <v>30.36</v>
      </c>
      <c r="F303" s="16">
        <f t="shared" si="22"/>
        <v>23.0472</v>
      </c>
    </row>
    <row r="304" spans="1:6" s="17" customFormat="1" x14ac:dyDescent="0.25">
      <c r="A304" s="2" t="s">
        <v>279</v>
      </c>
      <c r="B304" s="13">
        <v>26.400000000000002</v>
      </c>
      <c r="C304" s="16">
        <f t="shared" si="19"/>
        <v>35.200000000000003</v>
      </c>
      <c r="D304" s="16">
        <f t="shared" si="20"/>
        <v>52.800000000000004</v>
      </c>
      <c r="E304" s="32">
        <f t="shared" si="18"/>
        <v>30.36</v>
      </c>
      <c r="F304" s="16">
        <f t="shared" si="22"/>
        <v>23.0472</v>
      </c>
    </row>
    <row r="305" spans="1:6" s="17" customFormat="1" x14ac:dyDescent="0.25">
      <c r="A305" s="2" t="s">
        <v>280</v>
      </c>
      <c r="B305" s="13">
        <v>25.35</v>
      </c>
      <c r="C305" s="16">
        <f t="shared" si="19"/>
        <v>33.800000000000004</v>
      </c>
      <c r="D305" s="16">
        <f t="shared" si="20"/>
        <v>50.7</v>
      </c>
      <c r="E305" s="32">
        <f t="shared" si="18"/>
        <v>29.1525</v>
      </c>
      <c r="F305" s="16">
        <f t="shared" si="22"/>
        <v>22.130549999999999</v>
      </c>
    </row>
    <row r="306" spans="1:6" s="17" customFormat="1" x14ac:dyDescent="0.25">
      <c r="A306" s="2" t="s">
        <v>281</v>
      </c>
      <c r="B306" s="13">
        <v>25.35</v>
      </c>
      <c r="C306" s="16">
        <f t="shared" si="19"/>
        <v>33.800000000000004</v>
      </c>
      <c r="D306" s="16">
        <f t="shared" si="20"/>
        <v>50.7</v>
      </c>
      <c r="E306" s="32">
        <f t="shared" si="18"/>
        <v>29.1525</v>
      </c>
      <c r="F306" s="16">
        <f t="shared" si="22"/>
        <v>22.130549999999999</v>
      </c>
    </row>
    <row r="307" spans="1:6" s="17" customFormat="1" x14ac:dyDescent="0.25">
      <c r="A307" s="2" t="s">
        <v>282</v>
      </c>
      <c r="B307" s="13">
        <v>56.550000000000004</v>
      </c>
      <c r="C307" s="16">
        <f t="shared" si="19"/>
        <v>75.400000000000006</v>
      </c>
      <c r="D307" s="16">
        <f t="shared" si="20"/>
        <v>113.10000000000001</v>
      </c>
      <c r="E307" s="32">
        <f t="shared" si="18"/>
        <v>65.032499999999999</v>
      </c>
      <c r="F307" s="16">
        <f t="shared" si="22"/>
        <v>49.368150000000007</v>
      </c>
    </row>
    <row r="308" spans="1:6" s="17" customFormat="1" x14ac:dyDescent="0.25">
      <c r="A308" s="2" t="s">
        <v>283</v>
      </c>
      <c r="B308" s="13">
        <v>32.25</v>
      </c>
      <c r="C308" s="16">
        <f t="shared" si="19"/>
        <v>43</v>
      </c>
      <c r="D308" s="16">
        <f t="shared" si="20"/>
        <v>64.5</v>
      </c>
      <c r="E308" s="32">
        <f t="shared" si="18"/>
        <v>37.087499999999999</v>
      </c>
      <c r="F308" s="16">
        <f t="shared" si="22"/>
        <v>28.154250000000001</v>
      </c>
    </row>
    <row r="309" spans="1:6" s="17" customFormat="1" x14ac:dyDescent="0.25">
      <c r="A309" s="2" t="s">
        <v>284</v>
      </c>
      <c r="B309" s="13">
        <v>32.25</v>
      </c>
      <c r="C309" s="16">
        <f t="shared" si="19"/>
        <v>43</v>
      </c>
      <c r="D309" s="16">
        <f t="shared" si="20"/>
        <v>64.5</v>
      </c>
      <c r="E309" s="32">
        <f t="shared" si="18"/>
        <v>37.087499999999999</v>
      </c>
      <c r="F309" s="16">
        <f t="shared" si="22"/>
        <v>28.154250000000001</v>
      </c>
    </row>
    <row r="310" spans="1:6" s="17" customFormat="1" x14ac:dyDescent="0.25">
      <c r="A310" s="2" t="s">
        <v>285</v>
      </c>
      <c r="B310" s="13">
        <v>50.550000000000004</v>
      </c>
      <c r="C310" s="16">
        <f t="shared" si="19"/>
        <v>67.400000000000006</v>
      </c>
      <c r="D310" s="16">
        <f t="shared" si="20"/>
        <v>101.10000000000001</v>
      </c>
      <c r="E310" s="32">
        <f t="shared" si="18"/>
        <v>58.1325</v>
      </c>
      <c r="F310" s="16">
        <f t="shared" si="22"/>
        <v>44.13015</v>
      </c>
    </row>
    <row r="311" spans="1:6" s="17" customFormat="1" x14ac:dyDescent="0.25">
      <c r="A311" s="2" t="s">
        <v>286</v>
      </c>
      <c r="B311" s="13">
        <v>50.550000000000004</v>
      </c>
      <c r="C311" s="16">
        <f t="shared" si="19"/>
        <v>67.400000000000006</v>
      </c>
      <c r="D311" s="16">
        <f t="shared" si="20"/>
        <v>101.10000000000001</v>
      </c>
      <c r="E311" s="32">
        <f t="shared" si="18"/>
        <v>58.1325</v>
      </c>
      <c r="F311" s="16">
        <f t="shared" si="22"/>
        <v>44.13015</v>
      </c>
    </row>
    <row r="312" spans="1:6" s="17" customFormat="1" x14ac:dyDescent="0.25">
      <c r="A312" s="2" t="s">
        <v>287</v>
      </c>
      <c r="B312" s="13">
        <v>23.25</v>
      </c>
      <c r="C312" s="16">
        <f t="shared" si="19"/>
        <v>31</v>
      </c>
      <c r="D312" s="16">
        <f t="shared" si="20"/>
        <v>46.5</v>
      </c>
      <c r="E312" s="32">
        <f t="shared" si="18"/>
        <v>26.737499999999997</v>
      </c>
      <c r="F312" s="16">
        <f t="shared" si="22"/>
        <v>20.297249999999998</v>
      </c>
    </row>
    <row r="313" spans="1:6" s="14" customFormat="1" x14ac:dyDescent="0.25">
      <c r="A313" s="2" t="s">
        <v>288</v>
      </c>
      <c r="B313" s="13">
        <v>57.150000000000006</v>
      </c>
      <c r="C313" s="18">
        <f t="shared" si="19"/>
        <v>76.2</v>
      </c>
      <c r="D313" s="18">
        <f t="shared" si="20"/>
        <v>114.30000000000001</v>
      </c>
      <c r="E313" s="32">
        <f t="shared" si="18"/>
        <v>65.722499999999997</v>
      </c>
      <c r="F313" s="16">
        <f t="shared" si="22"/>
        <v>49.891950000000001</v>
      </c>
    </row>
    <row r="314" spans="1:6" s="14" customFormat="1" x14ac:dyDescent="0.25">
      <c r="A314" s="2" t="s">
        <v>289</v>
      </c>
      <c r="B314" s="13">
        <v>57.150000000000006</v>
      </c>
      <c r="C314" s="18">
        <f t="shared" si="19"/>
        <v>76.2</v>
      </c>
      <c r="D314" s="18">
        <f t="shared" si="20"/>
        <v>114.30000000000001</v>
      </c>
      <c r="E314" s="32">
        <f t="shared" si="18"/>
        <v>65.722499999999997</v>
      </c>
      <c r="F314" s="16">
        <f t="shared" si="22"/>
        <v>49.891950000000001</v>
      </c>
    </row>
    <row r="315" spans="1:6" s="14" customFormat="1" x14ac:dyDescent="0.25">
      <c r="A315" s="2" t="s">
        <v>290</v>
      </c>
      <c r="B315" s="13">
        <v>80.100000000000009</v>
      </c>
      <c r="C315" s="18">
        <f t="shared" si="19"/>
        <v>106.80000000000001</v>
      </c>
      <c r="D315" s="18">
        <f t="shared" si="20"/>
        <v>160.20000000000002</v>
      </c>
      <c r="E315" s="32">
        <f t="shared" si="18"/>
        <v>92.115000000000009</v>
      </c>
      <c r="F315" s="16">
        <f t="shared" si="22"/>
        <v>69.927300000000002</v>
      </c>
    </row>
    <row r="316" spans="1:6" s="14" customFormat="1" x14ac:dyDescent="0.25">
      <c r="A316" s="2" t="s">
        <v>291</v>
      </c>
      <c r="B316" s="13">
        <v>80.100000000000009</v>
      </c>
      <c r="C316" s="18">
        <f t="shared" si="19"/>
        <v>106.80000000000001</v>
      </c>
      <c r="D316" s="18">
        <f t="shared" si="20"/>
        <v>160.20000000000002</v>
      </c>
      <c r="E316" s="32">
        <f t="shared" si="18"/>
        <v>92.115000000000009</v>
      </c>
      <c r="F316" s="16">
        <f t="shared" si="22"/>
        <v>69.927300000000002</v>
      </c>
    </row>
    <row r="317" spans="1:6" s="14" customFormat="1" x14ac:dyDescent="0.25">
      <c r="A317" s="2" t="s">
        <v>292</v>
      </c>
      <c r="B317" s="13">
        <v>102.60000000000001</v>
      </c>
      <c r="C317" s="18">
        <f t="shared" si="19"/>
        <v>136.80000000000001</v>
      </c>
      <c r="D317" s="18">
        <f t="shared" si="20"/>
        <v>205.20000000000002</v>
      </c>
      <c r="E317" s="32">
        <f t="shared" si="18"/>
        <v>117.99</v>
      </c>
      <c r="F317" s="16">
        <f t="shared" si="22"/>
        <v>89.569800000000001</v>
      </c>
    </row>
    <row r="318" spans="1:6" s="14" customFormat="1" x14ac:dyDescent="0.25">
      <c r="A318" s="2" t="s">
        <v>293</v>
      </c>
      <c r="B318" s="13">
        <v>102.60000000000001</v>
      </c>
      <c r="C318" s="18">
        <f t="shared" si="19"/>
        <v>136.80000000000001</v>
      </c>
      <c r="D318" s="18">
        <f t="shared" si="20"/>
        <v>205.20000000000002</v>
      </c>
      <c r="E318" s="32">
        <f t="shared" si="18"/>
        <v>117.99</v>
      </c>
      <c r="F318" s="16">
        <f t="shared" si="22"/>
        <v>89.569800000000001</v>
      </c>
    </row>
    <row r="319" spans="1:6" s="17" customFormat="1" x14ac:dyDescent="0.25">
      <c r="A319" s="2" t="s">
        <v>294</v>
      </c>
      <c r="B319" s="13">
        <v>5.4</v>
      </c>
      <c r="C319" s="16">
        <f t="shared" si="19"/>
        <v>7.2</v>
      </c>
      <c r="D319" s="16">
        <f t="shared" si="20"/>
        <v>10.8</v>
      </c>
      <c r="E319" s="32">
        <f t="shared" si="18"/>
        <v>6.21</v>
      </c>
      <c r="F319" s="16">
        <f t="shared" si="22"/>
        <v>4.7141999999999999</v>
      </c>
    </row>
    <row r="320" spans="1:6" s="17" customFormat="1" x14ac:dyDescent="0.25">
      <c r="A320" s="2" t="s">
        <v>295</v>
      </c>
      <c r="B320" s="13">
        <v>5.4</v>
      </c>
      <c r="C320" s="16">
        <f t="shared" si="19"/>
        <v>7.2</v>
      </c>
      <c r="D320" s="16">
        <f t="shared" si="20"/>
        <v>10.8</v>
      </c>
      <c r="E320" s="32">
        <f t="shared" si="18"/>
        <v>6.21</v>
      </c>
      <c r="F320" s="16">
        <f t="shared" si="22"/>
        <v>4.7141999999999999</v>
      </c>
    </row>
    <row r="321" spans="1:6" s="17" customFormat="1" x14ac:dyDescent="0.25">
      <c r="A321" s="2" t="s">
        <v>296</v>
      </c>
      <c r="B321" s="13">
        <v>6.6000000000000005</v>
      </c>
      <c r="C321" s="16">
        <f t="shared" si="19"/>
        <v>8.8000000000000007</v>
      </c>
      <c r="D321" s="16">
        <f t="shared" si="20"/>
        <v>13.200000000000001</v>
      </c>
      <c r="E321" s="32">
        <f t="shared" si="18"/>
        <v>7.59</v>
      </c>
      <c r="F321" s="16">
        <f t="shared" si="22"/>
        <v>5.7618</v>
      </c>
    </row>
    <row r="322" spans="1:6" s="17" customFormat="1" x14ac:dyDescent="0.25">
      <c r="A322" s="2" t="s">
        <v>297</v>
      </c>
      <c r="B322" s="13">
        <v>6.6000000000000005</v>
      </c>
      <c r="C322" s="16">
        <f t="shared" si="19"/>
        <v>8.8000000000000007</v>
      </c>
      <c r="D322" s="16">
        <f t="shared" si="20"/>
        <v>13.200000000000001</v>
      </c>
      <c r="E322" s="32">
        <f t="shared" si="18"/>
        <v>7.59</v>
      </c>
      <c r="F322" s="16">
        <f t="shared" si="22"/>
        <v>5.7618</v>
      </c>
    </row>
    <row r="323" spans="1:6" s="17" customFormat="1" x14ac:dyDescent="0.25">
      <c r="A323" s="2" t="s">
        <v>298</v>
      </c>
      <c r="B323" s="13">
        <v>11.25</v>
      </c>
      <c r="C323" s="16">
        <f t="shared" si="19"/>
        <v>15</v>
      </c>
      <c r="D323" s="16">
        <f t="shared" si="20"/>
        <v>22.5</v>
      </c>
      <c r="E323" s="32">
        <f t="shared" si="18"/>
        <v>12.937499999999998</v>
      </c>
      <c r="F323" s="16">
        <f t="shared" si="22"/>
        <v>9.8212499999999991</v>
      </c>
    </row>
    <row r="324" spans="1:6" s="17" customFormat="1" x14ac:dyDescent="0.25">
      <c r="A324" s="2" t="s">
        <v>299</v>
      </c>
      <c r="B324" s="13">
        <v>11.25</v>
      </c>
      <c r="C324" s="16">
        <f t="shared" si="19"/>
        <v>15</v>
      </c>
      <c r="D324" s="16">
        <f t="shared" si="20"/>
        <v>22.5</v>
      </c>
      <c r="E324" s="32">
        <f t="shared" si="18"/>
        <v>12.937499999999998</v>
      </c>
      <c r="F324" s="16">
        <f t="shared" si="22"/>
        <v>9.8212499999999991</v>
      </c>
    </row>
    <row r="325" spans="1:6" s="17" customFormat="1" x14ac:dyDescent="0.25">
      <c r="A325" s="2" t="s">
        <v>300</v>
      </c>
      <c r="B325" s="13">
        <v>17.55</v>
      </c>
      <c r="C325" s="16">
        <f t="shared" si="19"/>
        <v>23.400000000000002</v>
      </c>
      <c r="D325" s="16">
        <f t="shared" si="20"/>
        <v>35.1</v>
      </c>
      <c r="E325" s="32">
        <f t="shared" si="18"/>
        <v>20.182500000000001</v>
      </c>
      <c r="F325" s="16">
        <f t="shared" si="22"/>
        <v>15.321150000000001</v>
      </c>
    </row>
    <row r="326" spans="1:6" s="17" customFormat="1" x14ac:dyDescent="0.25">
      <c r="A326" s="2" t="s">
        <v>301</v>
      </c>
      <c r="B326" s="13">
        <v>17.55</v>
      </c>
      <c r="C326" s="16">
        <f t="shared" si="19"/>
        <v>23.400000000000002</v>
      </c>
      <c r="D326" s="16">
        <f t="shared" si="20"/>
        <v>35.1</v>
      </c>
      <c r="E326" s="32">
        <f t="shared" si="18"/>
        <v>20.182500000000001</v>
      </c>
      <c r="F326" s="16">
        <f t="shared" si="22"/>
        <v>15.321150000000001</v>
      </c>
    </row>
    <row r="327" spans="1:6" s="17" customFormat="1" x14ac:dyDescent="0.25">
      <c r="A327" s="37" t="s">
        <v>403</v>
      </c>
      <c r="B327" s="38"/>
      <c r="C327" s="38"/>
      <c r="D327" s="38"/>
      <c r="E327" s="38"/>
      <c r="F327" s="39"/>
    </row>
    <row r="328" spans="1:6" s="17" customFormat="1" x14ac:dyDescent="0.25">
      <c r="A328" s="4" t="s">
        <v>877</v>
      </c>
      <c r="B328" s="26">
        <v>684</v>
      </c>
      <c r="C328" s="16">
        <f t="shared" si="19"/>
        <v>912</v>
      </c>
      <c r="D328" s="16">
        <f t="shared" si="20"/>
        <v>1368</v>
      </c>
      <c r="E328" s="35">
        <v>750</v>
      </c>
      <c r="F328" s="16">
        <f>B328*0.873</f>
        <v>597.13199999999995</v>
      </c>
    </row>
    <row r="329" spans="1:6" s="17" customFormat="1" x14ac:dyDescent="0.25">
      <c r="A329" s="4" t="s">
        <v>880</v>
      </c>
      <c r="B329" s="26">
        <v>684</v>
      </c>
      <c r="C329" s="16">
        <f t="shared" si="19"/>
        <v>912</v>
      </c>
      <c r="D329" s="16">
        <f t="shared" si="20"/>
        <v>1368</v>
      </c>
      <c r="E329" s="35">
        <v>750</v>
      </c>
      <c r="F329" s="16">
        <f t="shared" ref="F329:F348" si="23">B329*0.873</f>
        <v>597.13199999999995</v>
      </c>
    </row>
    <row r="330" spans="1:6" s="17" customFormat="1" x14ac:dyDescent="0.25">
      <c r="A330" s="4" t="s">
        <v>881</v>
      </c>
      <c r="B330" s="26">
        <v>39.450000000000003</v>
      </c>
      <c r="C330" s="16">
        <f t="shared" ref="C330:C331" si="24">B330/0.75</f>
        <v>52.6</v>
      </c>
      <c r="D330" s="16">
        <f t="shared" ref="D330:D331" si="25">B330*2</f>
        <v>78.900000000000006</v>
      </c>
      <c r="E330" s="32">
        <f t="shared" si="18"/>
        <v>45.3675</v>
      </c>
      <c r="F330" s="16">
        <f t="shared" si="23"/>
        <v>34.43985</v>
      </c>
    </row>
    <row r="331" spans="1:6" s="17" customFormat="1" x14ac:dyDescent="0.25">
      <c r="A331" s="4" t="s">
        <v>883</v>
      </c>
      <c r="B331" s="26">
        <v>222.45</v>
      </c>
      <c r="C331" s="16">
        <f t="shared" si="24"/>
        <v>296.59999999999997</v>
      </c>
      <c r="D331" s="16">
        <f t="shared" si="25"/>
        <v>444.9</v>
      </c>
      <c r="E331" s="32">
        <f>D331*1.15</f>
        <v>511.63499999999993</v>
      </c>
      <c r="F331" s="16">
        <f t="shared" si="23"/>
        <v>194.19884999999999</v>
      </c>
    </row>
    <row r="332" spans="1:6" s="17" customFormat="1" x14ac:dyDescent="0.25">
      <c r="A332" s="2" t="s">
        <v>302</v>
      </c>
      <c r="B332" s="13">
        <v>285.60000000000002</v>
      </c>
      <c r="C332" s="16">
        <f t="shared" si="19"/>
        <v>380.8</v>
      </c>
      <c r="D332" s="16">
        <f t="shared" si="20"/>
        <v>571.20000000000005</v>
      </c>
      <c r="E332" s="32">
        <f t="shared" ref="E332:E397" si="26">B332*1.15</f>
        <v>328.44</v>
      </c>
      <c r="F332" s="16">
        <f t="shared" si="23"/>
        <v>249.32880000000003</v>
      </c>
    </row>
    <row r="333" spans="1:6" s="17" customFormat="1" x14ac:dyDescent="0.25">
      <c r="A333" s="2" t="s">
        <v>303</v>
      </c>
      <c r="B333" s="13">
        <v>285.60000000000002</v>
      </c>
      <c r="C333" s="16">
        <f t="shared" si="19"/>
        <v>380.8</v>
      </c>
      <c r="D333" s="16">
        <f t="shared" si="20"/>
        <v>571.20000000000005</v>
      </c>
      <c r="E333" s="32">
        <f t="shared" si="26"/>
        <v>328.44</v>
      </c>
      <c r="F333" s="16">
        <f t="shared" si="23"/>
        <v>249.32880000000003</v>
      </c>
    </row>
    <row r="334" spans="1:6" s="17" customFormat="1" x14ac:dyDescent="0.25">
      <c r="A334" s="2" t="s">
        <v>304</v>
      </c>
      <c r="B334" s="13">
        <v>347.25</v>
      </c>
      <c r="C334" s="16">
        <f t="shared" si="19"/>
        <v>463</v>
      </c>
      <c r="D334" s="16">
        <f t="shared" si="20"/>
        <v>694.5</v>
      </c>
      <c r="E334" s="32">
        <f t="shared" si="26"/>
        <v>399.33749999999998</v>
      </c>
      <c r="F334" s="16">
        <f t="shared" si="23"/>
        <v>303.14924999999999</v>
      </c>
    </row>
    <row r="335" spans="1:6" s="17" customFormat="1" x14ac:dyDescent="0.25">
      <c r="A335" s="2" t="s">
        <v>305</v>
      </c>
      <c r="B335" s="13">
        <v>347.25</v>
      </c>
      <c r="C335" s="16">
        <f t="shared" si="19"/>
        <v>463</v>
      </c>
      <c r="D335" s="16">
        <f t="shared" si="20"/>
        <v>694.5</v>
      </c>
      <c r="E335" s="32">
        <f t="shared" si="26"/>
        <v>399.33749999999998</v>
      </c>
      <c r="F335" s="16">
        <f t="shared" si="23"/>
        <v>303.14924999999999</v>
      </c>
    </row>
    <row r="336" spans="1:6" s="17" customFormat="1" x14ac:dyDescent="0.25">
      <c r="A336" s="2" t="s">
        <v>306</v>
      </c>
      <c r="B336" s="13">
        <v>316.8</v>
      </c>
      <c r="C336" s="16">
        <f t="shared" ref="C336:C402" si="27">B336/0.75</f>
        <v>422.40000000000003</v>
      </c>
      <c r="D336" s="16">
        <f t="shared" ref="D336:D402" si="28">B336*2</f>
        <v>633.6</v>
      </c>
      <c r="E336" s="32">
        <f t="shared" si="26"/>
        <v>364.32</v>
      </c>
      <c r="F336" s="16">
        <f t="shared" si="23"/>
        <v>276.56639999999999</v>
      </c>
    </row>
    <row r="337" spans="1:6" s="17" customFormat="1" x14ac:dyDescent="0.25">
      <c r="A337" s="2" t="s">
        <v>307</v>
      </c>
      <c r="B337" s="13">
        <v>316.8</v>
      </c>
      <c r="C337" s="16">
        <f t="shared" si="27"/>
        <v>422.40000000000003</v>
      </c>
      <c r="D337" s="16">
        <f t="shared" si="28"/>
        <v>633.6</v>
      </c>
      <c r="E337" s="32">
        <f t="shared" si="26"/>
        <v>364.32</v>
      </c>
      <c r="F337" s="16">
        <f t="shared" si="23"/>
        <v>276.56639999999999</v>
      </c>
    </row>
    <row r="338" spans="1:6" s="17" customFormat="1" x14ac:dyDescent="0.25">
      <c r="A338" s="2" t="s">
        <v>308</v>
      </c>
      <c r="B338" s="13">
        <v>394.04999999999995</v>
      </c>
      <c r="C338" s="16">
        <f t="shared" si="27"/>
        <v>525.4</v>
      </c>
      <c r="D338" s="16">
        <f t="shared" si="28"/>
        <v>788.09999999999991</v>
      </c>
      <c r="E338" s="32">
        <f t="shared" si="26"/>
        <v>453.15749999999991</v>
      </c>
      <c r="F338" s="16">
        <f t="shared" si="23"/>
        <v>344.00564999999995</v>
      </c>
    </row>
    <row r="339" spans="1:6" s="17" customFormat="1" x14ac:dyDescent="0.25">
      <c r="A339" s="2" t="s">
        <v>309</v>
      </c>
      <c r="B339" s="13">
        <v>394.04999999999995</v>
      </c>
      <c r="C339" s="16">
        <f t="shared" si="27"/>
        <v>525.4</v>
      </c>
      <c r="D339" s="16">
        <f t="shared" si="28"/>
        <v>788.09999999999991</v>
      </c>
      <c r="E339" s="32">
        <f t="shared" si="26"/>
        <v>453.15749999999991</v>
      </c>
      <c r="F339" s="16">
        <f t="shared" si="23"/>
        <v>344.00564999999995</v>
      </c>
    </row>
    <row r="340" spans="1:6" s="17" customFormat="1" x14ac:dyDescent="0.25">
      <c r="A340" s="2" t="s">
        <v>310</v>
      </c>
      <c r="B340" s="13">
        <v>373.95000000000005</v>
      </c>
      <c r="C340" s="16">
        <f t="shared" si="27"/>
        <v>498.60000000000008</v>
      </c>
      <c r="D340" s="16">
        <f t="shared" si="28"/>
        <v>747.90000000000009</v>
      </c>
      <c r="E340" s="32">
        <f t="shared" si="26"/>
        <v>430.04250000000002</v>
      </c>
      <c r="F340" s="16">
        <f t="shared" si="23"/>
        <v>326.45835000000005</v>
      </c>
    </row>
    <row r="341" spans="1:6" s="17" customFormat="1" x14ac:dyDescent="0.25">
      <c r="A341" s="2" t="s">
        <v>311</v>
      </c>
      <c r="B341" s="13">
        <v>373.95000000000005</v>
      </c>
      <c r="C341" s="16">
        <f t="shared" si="27"/>
        <v>498.60000000000008</v>
      </c>
      <c r="D341" s="16">
        <f t="shared" si="28"/>
        <v>747.90000000000009</v>
      </c>
      <c r="E341" s="32">
        <f t="shared" si="26"/>
        <v>430.04250000000002</v>
      </c>
      <c r="F341" s="16">
        <f t="shared" si="23"/>
        <v>326.45835000000005</v>
      </c>
    </row>
    <row r="342" spans="1:6" s="17" customFormat="1" x14ac:dyDescent="0.25">
      <c r="A342" s="2" t="s">
        <v>312</v>
      </c>
      <c r="B342" s="13">
        <v>557.70000000000005</v>
      </c>
      <c r="C342" s="16">
        <f t="shared" si="27"/>
        <v>743.6</v>
      </c>
      <c r="D342" s="16">
        <f t="shared" si="28"/>
        <v>1115.4000000000001</v>
      </c>
      <c r="E342" s="32">
        <f t="shared" si="26"/>
        <v>641.35500000000002</v>
      </c>
      <c r="F342" s="16">
        <f t="shared" si="23"/>
        <v>486.87210000000005</v>
      </c>
    </row>
    <row r="343" spans="1:6" s="17" customFormat="1" x14ac:dyDescent="0.25">
      <c r="A343" s="2" t="s">
        <v>313</v>
      </c>
      <c r="B343" s="13">
        <v>557.70000000000005</v>
      </c>
      <c r="C343" s="16">
        <f t="shared" si="27"/>
        <v>743.6</v>
      </c>
      <c r="D343" s="16">
        <f t="shared" si="28"/>
        <v>1115.4000000000001</v>
      </c>
      <c r="E343" s="32">
        <f t="shared" si="26"/>
        <v>641.35500000000002</v>
      </c>
      <c r="F343" s="16">
        <f t="shared" si="23"/>
        <v>486.87210000000005</v>
      </c>
    </row>
    <row r="344" spans="1:6" s="17" customFormat="1" x14ac:dyDescent="0.25">
      <c r="A344" s="2" t="s">
        <v>314</v>
      </c>
      <c r="B344" s="13">
        <v>334.8</v>
      </c>
      <c r="C344" s="16">
        <f t="shared" si="27"/>
        <v>446.40000000000003</v>
      </c>
      <c r="D344" s="16">
        <f t="shared" si="28"/>
        <v>669.6</v>
      </c>
      <c r="E344" s="32">
        <f t="shared" si="26"/>
        <v>385.02</v>
      </c>
      <c r="F344" s="16">
        <f t="shared" si="23"/>
        <v>292.28039999999999</v>
      </c>
    </row>
    <row r="345" spans="1:6" s="17" customFormat="1" x14ac:dyDescent="0.25">
      <c r="A345" s="2" t="s">
        <v>315</v>
      </c>
      <c r="B345" s="13">
        <v>334.8</v>
      </c>
      <c r="C345" s="16">
        <f t="shared" si="27"/>
        <v>446.40000000000003</v>
      </c>
      <c r="D345" s="16">
        <f t="shared" si="28"/>
        <v>669.6</v>
      </c>
      <c r="E345" s="32">
        <f t="shared" si="26"/>
        <v>385.02</v>
      </c>
      <c r="F345" s="16">
        <f t="shared" si="23"/>
        <v>292.28039999999999</v>
      </c>
    </row>
    <row r="346" spans="1:6" s="17" customFormat="1" x14ac:dyDescent="0.25">
      <c r="A346" s="2" t="s">
        <v>316</v>
      </c>
      <c r="B346" s="13">
        <v>406.95000000000005</v>
      </c>
      <c r="C346" s="16">
        <f t="shared" si="27"/>
        <v>542.6</v>
      </c>
      <c r="D346" s="16">
        <f t="shared" si="28"/>
        <v>813.90000000000009</v>
      </c>
      <c r="E346" s="32">
        <f t="shared" si="26"/>
        <v>467.99250000000001</v>
      </c>
      <c r="F346" s="16">
        <f t="shared" si="23"/>
        <v>355.26735000000002</v>
      </c>
    </row>
    <row r="347" spans="1:6" s="17" customFormat="1" x14ac:dyDescent="0.25">
      <c r="A347" s="2" t="s">
        <v>317</v>
      </c>
      <c r="B347" s="13">
        <v>406.95000000000005</v>
      </c>
      <c r="C347" s="16">
        <f t="shared" si="27"/>
        <v>542.6</v>
      </c>
      <c r="D347" s="16">
        <f t="shared" si="28"/>
        <v>813.90000000000009</v>
      </c>
      <c r="E347" s="32">
        <f t="shared" si="26"/>
        <v>467.99250000000001</v>
      </c>
      <c r="F347" s="16">
        <f t="shared" si="23"/>
        <v>355.26735000000002</v>
      </c>
    </row>
    <row r="348" spans="1:6" s="17" customFormat="1" x14ac:dyDescent="0.25">
      <c r="A348" s="2" t="s">
        <v>318</v>
      </c>
      <c r="B348" s="13">
        <v>40.200000000000003</v>
      </c>
      <c r="C348" s="16">
        <f t="shared" si="27"/>
        <v>53.6</v>
      </c>
      <c r="D348" s="16">
        <f t="shared" si="28"/>
        <v>80.400000000000006</v>
      </c>
      <c r="E348" s="32">
        <f t="shared" si="26"/>
        <v>46.23</v>
      </c>
      <c r="F348" s="16">
        <f t="shared" si="23"/>
        <v>35.0946</v>
      </c>
    </row>
    <row r="349" spans="1:6" s="17" customFormat="1" x14ac:dyDescent="0.25">
      <c r="A349" s="37" t="s">
        <v>404</v>
      </c>
      <c r="B349" s="38"/>
      <c r="C349" s="38"/>
      <c r="D349" s="38"/>
      <c r="E349" s="38"/>
      <c r="F349" s="39"/>
    </row>
    <row r="350" spans="1:6" s="17" customFormat="1" x14ac:dyDescent="0.25">
      <c r="A350" s="2" t="s">
        <v>319</v>
      </c>
      <c r="B350" s="13">
        <v>83.4</v>
      </c>
      <c r="C350" s="16">
        <f t="shared" si="27"/>
        <v>111.2</v>
      </c>
      <c r="D350" s="16">
        <f t="shared" si="28"/>
        <v>166.8</v>
      </c>
      <c r="E350" s="32">
        <f t="shared" si="26"/>
        <v>95.91</v>
      </c>
      <c r="F350" s="16">
        <f>B350*0.873</f>
        <v>72.808199999999999</v>
      </c>
    </row>
    <row r="351" spans="1:6" s="17" customFormat="1" x14ac:dyDescent="0.25">
      <c r="A351" s="2" t="s">
        <v>320</v>
      </c>
      <c r="B351" s="13">
        <v>95.550000000000011</v>
      </c>
      <c r="C351" s="16">
        <f t="shared" si="27"/>
        <v>127.40000000000002</v>
      </c>
      <c r="D351" s="16">
        <f t="shared" si="28"/>
        <v>191.10000000000002</v>
      </c>
      <c r="E351" s="32">
        <f t="shared" si="26"/>
        <v>109.88250000000001</v>
      </c>
      <c r="F351" s="16">
        <f>B351*0.873</f>
        <v>83.415150000000011</v>
      </c>
    </row>
    <row r="352" spans="1:6" s="17" customFormat="1" x14ac:dyDescent="0.25">
      <c r="A352" s="2" t="s">
        <v>321</v>
      </c>
      <c r="B352" s="13">
        <v>336</v>
      </c>
      <c r="C352" s="16">
        <f t="shared" si="27"/>
        <v>448</v>
      </c>
      <c r="D352" s="16">
        <f t="shared" si="28"/>
        <v>672</v>
      </c>
      <c r="E352" s="32">
        <f t="shared" si="26"/>
        <v>386.4</v>
      </c>
      <c r="F352" s="16">
        <f>B352*0.873</f>
        <v>293.32799999999997</v>
      </c>
    </row>
    <row r="353" spans="1:6" s="17" customFormat="1" x14ac:dyDescent="0.25">
      <c r="A353" s="37" t="s">
        <v>322</v>
      </c>
      <c r="B353" s="38"/>
      <c r="C353" s="38"/>
      <c r="D353" s="38"/>
      <c r="E353" s="39"/>
      <c r="F353" s="39"/>
    </row>
    <row r="354" spans="1:6" s="17" customFormat="1" x14ac:dyDescent="0.25">
      <c r="A354" s="2" t="s">
        <v>323</v>
      </c>
      <c r="B354" s="13">
        <v>232.65000000000003</v>
      </c>
      <c r="C354" s="16">
        <f t="shared" si="27"/>
        <v>310.20000000000005</v>
      </c>
      <c r="D354" s="16">
        <f t="shared" si="28"/>
        <v>465.30000000000007</v>
      </c>
      <c r="E354" s="32">
        <f t="shared" si="26"/>
        <v>267.54750000000001</v>
      </c>
      <c r="F354" s="16">
        <f>B354*0.873</f>
        <v>203.10345000000004</v>
      </c>
    </row>
    <row r="355" spans="1:6" s="17" customFormat="1" x14ac:dyDescent="0.25">
      <c r="A355" s="2" t="s">
        <v>324</v>
      </c>
      <c r="B355" s="13">
        <v>255.90000000000003</v>
      </c>
      <c r="C355" s="16">
        <f t="shared" si="27"/>
        <v>341.20000000000005</v>
      </c>
      <c r="D355" s="16">
        <f t="shared" si="28"/>
        <v>511.80000000000007</v>
      </c>
      <c r="E355" s="32">
        <f t="shared" si="26"/>
        <v>294.28500000000003</v>
      </c>
      <c r="F355" s="16">
        <f t="shared" ref="F355:F399" si="29">B355*0.873</f>
        <v>223.40070000000003</v>
      </c>
    </row>
    <row r="356" spans="1:6" s="17" customFormat="1" x14ac:dyDescent="0.25">
      <c r="A356" s="2" t="s">
        <v>325</v>
      </c>
      <c r="B356" s="13">
        <v>25.200000000000003</v>
      </c>
      <c r="C356" s="16">
        <f t="shared" si="27"/>
        <v>33.6</v>
      </c>
      <c r="D356" s="16">
        <f t="shared" si="28"/>
        <v>50.400000000000006</v>
      </c>
      <c r="E356" s="32">
        <f t="shared" si="26"/>
        <v>28.98</v>
      </c>
      <c r="F356" s="16">
        <f t="shared" si="29"/>
        <v>21.999600000000001</v>
      </c>
    </row>
    <row r="357" spans="1:6" s="17" customFormat="1" x14ac:dyDescent="0.25">
      <c r="A357" s="2" t="s">
        <v>326</v>
      </c>
      <c r="B357" s="13">
        <v>27.900000000000002</v>
      </c>
      <c r="C357" s="16">
        <f t="shared" si="27"/>
        <v>37.200000000000003</v>
      </c>
      <c r="D357" s="16">
        <f t="shared" si="28"/>
        <v>55.800000000000004</v>
      </c>
      <c r="E357" s="32">
        <f t="shared" si="26"/>
        <v>32.085000000000001</v>
      </c>
      <c r="F357" s="16">
        <f t="shared" si="29"/>
        <v>24.356700000000004</v>
      </c>
    </row>
    <row r="358" spans="1:6" s="17" customFormat="1" x14ac:dyDescent="0.25">
      <c r="A358" s="2" t="s">
        <v>327</v>
      </c>
      <c r="B358" s="13">
        <v>19.200000000000003</v>
      </c>
      <c r="C358" s="16">
        <f t="shared" si="27"/>
        <v>25.600000000000005</v>
      </c>
      <c r="D358" s="16">
        <f t="shared" si="28"/>
        <v>38.400000000000006</v>
      </c>
      <c r="E358" s="32">
        <f t="shared" si="26"/>
        <v>22.080000000000002</v>
      </c>
      <c r="F358" s="16">
        <f t="shared" si="29"/>
        <v>16.761600000000001</v>
      </c>
    </row>
    <row r="359" spans="1:6" s="17" customFormat="1" x14ac:dyDescent="0.25">
      <c r="A359" s="2" t="s">
        <v>328</v>
      </c>
      <c r="B359" s="13">
        <v>19.950000000000003</v>
      </c>
      <c r="C359" s="16">
        <f t="shared" si="27"/>
        <v>26.600000000000005</v>
      </c>
      <c r="D359" s="16">
        <f t="shared" si="28"/>
        <v>39.900000000000006</v>
      </c>
      <c r="E359" s="32">
        <f t="shared" si="26"/>
        <v>22.942500000000003</v>
      </c>
      <c r="F359" s="16">
        <f t="shared" si="29"/>
        <v>17.416350000000001</v>
      </c>
    </row>
    <row r="360" spans="1:6" s="17" customFormat="1" x14ac:dyDescent="0.25">
      <c r="A360" s="2" t="s">
        <v>329</v>
      </c>
      <c r="B360" s="13">
        <v>20.400000000000002</v>
      </c>
      <c r="C360" s="16">
        <f t="shared" si="27"/>
        <v>27.200000000000003</v>
      </c>
      <c r="D360" s="16">
        <f t="shared" si="28"/>
        <v>40.800000000000004</v>
      </c>
      <c r="E360" s="32">
        <f t="shared" si="26"/>
        <v>23.46</v>
      </c>
      <c r="F360" s="16">
        <f t="shared" si="29"/>
        <v>17.809200000000001</v>
      </c>
    </row>
    <row r="361" spans="1:6" s="17" customFormat="1" x14ac:dyDescent="0.25">
      <c r="A361" s="2" t="s">
        <v>330</v>
      </c>
      <c r="B361" s="13">
        <v>21</v>
      </c>
      <c r="C361" s="16">
        <f t="shared" si="27"/>
        <v>28</v>
      </c>
      <c r="D361" s="16">
        <f t="shared" si="28"/>
        <v>42</v>
      </c>
      <c r="E361" s="32">
        <f t="shared" si="26"/>
        <v>24.15</v>
      </c>
      <c r="F361" s="16">
        <f t="shared" si="29"/>
        <v>18.332999999999998</v>
      </c>
    </row>
    <row r="362" spans="1:6" s="17" customFormat="1" x14ac:dyDescent="0.25">
      <c r="A362" s="2" t="s">
        <v>331</v>
      </c>
      <c r="B362" s="13">
        <v>22.8</v>
      </c>
      <c r="C362" s="16">
        <f t="shared" si="27"/>
        <v>30.400000000000002</v>
      </c>
      <c r="D362" s="16">
        <f t="shared" si="28"/>
        <v>45.6</v>
      </c>
      <c r="E362" s="32">
        <f t="shared" si="26"/>
        <v>26.22</v>
      </c>
      <c r="F362" s="16">
        <f t="shared" si="29"/>
        <v>19.904399999999999</v>
      </c>
    </row>
    <row r="363" spans="1:6" s="17" customFormat="1" x14ac:dyDescent="0.25">
      <c r="A363" s="2" t="s">
        <v>332</v>
      </c>
      <c r="B363" s="13">
        <v>25.799999999999997</v>
      </c>
      <c r="C363" s="16">
        <f t="shared" si="27"/>
        <v>34.4</v>
      </c>
      <c r="D363" s="16">
        <f t="shared" si="28"/>
        <v>51.599999999999994</v>
      </c>
      <c r="E363" s="32">
        <f t="shared" si="26"/>
        <v>29.669999999999995</v>
      </c>
      <c r="F363" s="16">
        <f t="shared" si="29"/>
        <v>22.523399999999999</v>
      </c>
    </row>
    <row r="364" spans="1:6" s="17" customFormat="1" x14ac:dyDescent="0.25">
      <c r="A364" s="2" t="s">
        <v>333</v>
      </c>
      <c r="B364" s="13">
        <v>22.5</v>
      </c>
      <c r="C364" s="16">
        <f t="shared" si="27"/>
        <v>30</v>
      </c>
      <c r="D364" s="16">
        <f t="shared" si="28"/>
        <v>45</v>
      </c>
      <c r="E364" s="32">
        <f t="shared" si="26"/>
        <v>25.874999999999996</v>
      </c>
      <c r="F364" s="16">
        <f t="shared" si="29"/>
        <v>19.642499999999998</v>
      </c>
    </row>
    <row r="365" spans="1:6" s="17" customFormat="1" x14ac:dyDescent="0.25">
      <c r="A365" s="2" t="s">
        <v>334</v>
      </c>
      <c r="B365" s="13">
        <v>24.299999999999997</v>
      </c>
      <c r="C365" s="16">
        <f t="shared" si="27"/>
        <v>32.4</v>
      </c>
      <c r="D365" s="16">
        <f t="shared" si="28"/>
        <v>48.599999999999994</v>
      </c>
      <c r="E365" s="32">
        <f t="shared" si="26"/>
        <v>27.944999999999993</v>
      </c>
      <c r="F365" s="16">
        <f t="shared" si="29"/>
        <v>21.213899999999999</v>
      </c>
    </row>
    <row r="366" spans="1:6" s="17" customFormat="1" x14ac:dyDescent="0.25">
      <c r="A366" s="2" t="s">
        <v>335</v>
      </c>
      <c r="B366" s="13">
        <v>24.900000000000002</v>
      </c>
      <c r="C366" s="16">
        <f t="shared" si="27"/>
        <v>33.200000000000003</v>
      </c>
      <c r="D366" s="16">
        <f t="shared" si="28"/>
        <v>49.800000000000004</v>
      </c>
      <c r="E366" s="32">
        <f t="shared" si="26"/>
        <v>28.635000000000002</v>
      </c>
      <c r="F366" s="16">
        <f t="shared" si="29"/>
        <v>21.7377</v>
      </c>
    </row>
    <row r="367" spans="1:6" s="17" customFormat="1" x14ac:dyDescent="0.25">
      <c r="A367" s="2" t="s">
        <v>336</v>
      </c>
      <c r="B367" s="13">
        <v>25.049999999999997</v>
      </c>
      <c r="C367" s="16">
        <f t="shared" si="27"/>
        <v>33.4</v>
      </c>
      <c r="D367" s="16">
        <f t="shared" si="28"/>
        <v>50.099999999999994</v>
      </c>
      <c r="E367" s="32">
        <f t="shared" si="26"/>
        <v>28.807499999999994</v>
      </c>
      <c r="F367" s="16">
        <f t="shared" si="29"/>
        <v>21.868649999999999</v>
      </c>
    </row>
    <row r="368" spans="1:6" s="17" customFormat="1" x14ac:dyDescent="0.25">
      <c r="A368" s="2" t="s">
        <v>337</v>
      </c>
      <c r="B368" s="13">
        <v>25.650000000000002</v>
      </c>
      <c r="C368" s="16">
        <f t="shared" si="27"/>
        <v>34.200000000000003</v>
      </c>
      <c r="D368" s="16">
        <f t="shared" si="28"/>
        <v>51.300000000000004</v>
      </c>
      <c r="E368" s="32">
        <f t="shared" si="26"/>
        <v>29.497499999999999</v>
      </c>
      <c r="F368" s="16">
        <f t="shared" si="29"/>
        <v>22.39245</v>
      </c>
    </row>
    <row r="369" spans="1:6" s="17" customFormat="1" x14ac:dyDescent="0.25">
      <c r="A369" s="2" t="s">
        <v>338</v>
      </c>
      <c r="B369" s="13">
        <v>27.900000000000002</v>
      </c>
      <c r="C369" s="16">
        <f t="shared" si="27"/>
        <v>37.200000000000003</v>
      </c>
      <c r="D369" s="16">
        <f t="shared" si="28"/>
        <v>55.800000000000004</v>
      </c>
      <c r="E369" s="32">
        <f t="shared" si="26"/>
        <v>32.085000000000001</v>
      </c>
      <c r="F369" s="16">
        <f t="shared" si="29"/>
        <v>24.356700000000004</v>
      </c>
    </row>
    <row r="370" spans="1:6" s="17" customFormat="1" x14ac:dyDescent="0.25">
      <c r="A370" s="2" t="s">
        <v>339</v>
      </c>
      <c r="B370" s="13">
        <v>70.650000000000006</v>
      </c>
      <c r="C370" s="16">
        <f t="shared" si="27"/>
        <v>94.2</v>
      </c>
      <c r="D370" s="16">
        <f t="shared" si="28"/>
        <v>141.30000000000001</v>
      </c>
      <c r="E370" s="32">
        <f t="shared" si="26"/>
        <v>81.247500000000002</v>
      </c>
      <c r="F370" s="16">
        <f t="shared" si="29"/>
        <v>61.677450000000007</v>
      </c>
    </row>
    <row r="371" spans="1:6" s="17" customFormat="1" x14ac:dyDescent="0.25">
      <c r="A371" s="2" t="s">
        <v>340</v>
      </c>
      <c r="B371" s="13">
        <v>99.15</v>
      </c>
      <c r="C371" s="16">
        <f t="shared" si="27"/>
        <v>132.20000000000002</v>
      </c>
      <c r="D371" s="16">
        <f t="shared" si="28"/>
        <v>198.3</v>
      </c>
      <c r="E371" s="32">
        <f t="shared" si="26"/>
        <v>114.02249999999999</v>
      </c>
      <c r="F371" s="16">
        <f t="shared" si="29"/>
        <v>86.557950000000005</v>
      </c>
    </row>
    <row r="372" spans="1:6" s="17" customFormat="1" x14ac:dyDescent="0.25">
      <c r="A372" s="2" t="s">
        <v>341</v>
      </c>
      <c r="B372" s="13">
        <v>68.550000000000011</v>
      </c>
      <c r="C372" s="16">
        <f t="shared" si="27"/>
        <v>91.40000000000002</v>
      </c>
      <c r="D372" s="16">
        <f t="shared" si="28"/>
        <v>137.10000000000002</v>
      </c>
      <c r="E372" s="32">
        <f t="shared" si="26"/>
        <v>78.83250000000001</v>
      </c>
      <c r="F372" s="16">
        <f t="shared" si="29"/>
        <v>59.844150000000013</v>
      </c>
    </row>
    <row r="373" spans="1:6" s="17" customFormat="1" x14ac:dyDescent="0.25">
      <c r="A373" s="2" t="s">
        <v>342</v>
      </c>
      <c r="B373" s="13">
        <v>90.9</v>
      </c>
      <c r="C373" s="16">
        <f t="shared" si="27"/>
        <v>121.2</v>
      </c>
      <c r="D373" s="16">
        <f t="shared" si="28"/>
        <v>181.8</v>
      </c>
      <c r="E373" s="32">
        <f t="shared" si="26"/>
        <v>104.535</v>
      </c>
      <c r="F373" s="16">
        <f t="shared" si="29"/>
        <v>79.355699999999999</v>
      </c>
    </row>
    <row r="374" spans="1:6" s="17" customFormat="1" x14ac:dyDescent="0.25">
      <c r="A374" s="2" t="s">
        <v>343</v>
      </c>
      <c r="B374" s="13">
        <v>74.25</v>
      </c>
      <c r="C374" s="16">
        <f t="shared" si="27"/>
        <v>99</v>
      </c>
      <c r="D374" s="16">
        <f t="shared" si="28"/>
        <v>148.5</v>
      </c>
      <c r="E374" s="32">
        <f t="shared" si="26"/>
        <v>85.387499999999989</v>
      </c>
      <c r="F374" s="16">
        <f t="shared" si="29"/>
        <v>64.820250000000001</v>
      </c>
    </row>
    <row r="375" spans="1:6" s="17" customFormat="1" x14ac:dyDescent="0.25">
      <c r="A375" s="2" t="s">
        <v>344</v>
      </c>
      <c r="B375" s="13">
        <v>77.7</v>
      </c>
      <c r="C375" s="16">
        <f t="shared" si="27"/>
        <v>103.60000000000001</v>
      </c>
      <c r="D375" s="16">
        <f t="shared" si="28"/>
        <v>155.4</v>
      </c>
      <c r="E375" s="32">
        <f t="shared" si="26"/>
        <v>89.35499999999999</v>
      </c>
      <c r="F375" s="16">
        <f t="shared" si="29"/>
        <v>67.832099999999997</v>
      </c>
    </row>
    <row r="376" spans="1:6" s="17" customFormat="1" x14ac:dyDescent="0.25">
      <c r="A376" s="4">
        <v>5898</v>
      </c>
      <c r="B376" s="13">
        <v>51.45</v>
      </c>
      <c r="C376" s="16">
        <f t="shared" si="27"/>
        <v>68.600000000000009</v>
      </c>
      <c r="D376" s="16">
        <f t="shared" si="28"/>
        <v>102.9</v>
      </c>
      <c r="E376" s="32">
        <f t="shared" si="26"/>
        <v>59.167499999999997</v>
      </c>
      <c r="F376" s="16">
        <f t="shared" si="29"/>
        <v>44.915849999999999</v>
      </c>
    </row>
    <row r="377" spans="1:6" s="17" customFormat="1" x14ac:dyDescent="0.25">
      <c r="A377" s="4">
        <v>5898.99</v>
      </c>
      <c r="B377" s="13">
        <v>55.650000000000006</v>
      </c>
      <c r="C377" s="16">
        <f t="shared" si="27"/>
        <v>74.2</v>
      </c>
      <c r="D377" s="16">
        <f t="shared" si="28"/>
        <v>111.30000000000001</v>
      </c>
      <c r="E377" s="32">
        <f t="shared" si="26"/>
        <v>63.997500000000002</v>
      </c>
      <c r="F377" s="16">
        <f t="shared" si="29"/>
        <v>48.582450000000001</v>
      </c>
    </row>
    <row r="378" spans="1:6" s="17" customFormat="1" x14ac:dyDescent="0.25">
      <c r="A378" s="2" t="s">
        <v>345</v>
      </c>
      <c r="B378" s="13">
        <v>19.650000000000002</v>
      </c>
      <c r="C378" s="16">
        <f t="shared" si="27"/>
        <v>26.200000000000003</v>
      </c>
      <c r="D378" s="16">
        <f t="shared" si="28"/>
        <v>39.300000000000004</v>
      </c>
      <c r="E378" s="32">
        <f t="shared" si="26"/>
        <v>22.5975</v>
      </c>
      <c r="F378" s="16">
        <f t="shared" si="29"/>
        <v>17.154450000000001</v>
      </c>
    </row>
    <row r="379" spans="1:6" s="17" customFormat="1" x14ac:dyDescent="0.25">
      <c r="A379" s="2" t="s">
        <v>346</v>
      </c>
      <c r="B379" s="13">
        <v>19.8</v>
      </c>
      <c r="C379" s="16">
        <f t="shared" si="27"/>
        <v>26.400000000000002</v>
      </c>
      <c r="D379" s="16">
        <f t="shared" si="28"/>
        <v>39.6</v>
      </c>
      <c r="E379" s="32">
        <f t="shared" si="26"/>
        <v>22.77</v>
      </c>
      <c r="F379" s="16">
        <f t="shared" si="29"/>
        <v>17.285399999999999</v>
      </c>
    </row>
    <row r="380" spans="1:6" s="17" customFormat="1" x14ac:dyDescent="0.25">
      <c r="A380" s="2" t="s">
        <v>347</v>
      </c>
      <c r="B380" s="13">
        <v>21</v>
      </c>
      <c r="C380" s="16">
        <f t="shared" si="27"/>
        <v>28</v>
      </c>
      <c r="D380" s="16">
        <f t="shared" si="28"/>
        <v>42</v>
      </c>
      <c r="E380" s="32">
        <f t="shared" si="26"/>
        <v>24.15</v>
      </c>
      <c r="F380" s="16">
        <f t="shared" si="29"/>
        <v>18.332999999999998</v>
      </c>
    </row>
    <row r="381" spans="1:6" s="17" customFormat="1" x14ac:dyDescent="0.25">
      <c r="A381" s="2" t="s">
        <v>348</v>
      </c>
      <c r="B381" s="13">
        <v>22.200000000000003</v>
      </c>
      <c r="C381" s="16">
        <f t="shared" si="27"/>
        <v>29.600000000000005</v>
      </c>
      <c r="D381" s="16">
        <f t="shared" si="28"/>
        <v>44.400000000000006</v>
      </c>
      <c r="E381" s="32">
        <f t="shared" si="26"/>
        <v>25.53</v>
      </c>
      <c r="F381" s="16">
        <f t="shared" si="29"/>
        <v>19.380600000000001</v>
      </c>
    </row>
    <row r="382" spans="1:6" s="17" customFormat="1" x14ac:dyDescent="0.25">
      <c r="A382" s="2" t="s">
        <v>349</v>
      </c>
      <c r="B382" s="13">
        <v>23.85</v>
      </c>
      <c r="C382" s="16">
        <f t="shared" si="27"/>
        <v>31.8</v>
      </c>
      <c r="D382" s="16">
        <f t="shared" si="28"/>
        <v>47.7</v>
      </c>
      <c r="E382" s="32">
        <f t="shared" si="26"/>
        <v>27.427499999999998</v>
      </c>
      <c r="F382" s="16">
        <f t="shared" si="29"/>
        <v>20.82105</v>
      </c>
    </row>
    <row r="383" spans="1:6" s="17" customFormat="1" x14ac:dyDescent="0.25">
      <c r="A383" s="2" t="s">
        <v>350</v>
      </c>
      <c r="B383" s="13">
        <v>25.200000000000003</v>
      </c>
      <c r="C383" s="16">
        <f t="shared" si="27"/>
        <v>33.6</v>
      </c>
      <c r="D383" s="16">
        <f t="shared" si="28"/>
        <v>50.400000000000006</v>
      </c>
      <c r="E383" s="32">
        <f t="shared" si="26"/>
        <v>28.98</v>
      </c>
      <c r="F383" s="16">
        <f t="shared" si="29"/>
        <v>21.999600000000001</v>
      </c>
    </row>
    <row r="384" spans="1:6" s="17" customFormat="1" x14ac:dyDescent="0.25">
      <c r="A384" s="2" t="s">
        <v>351</v>
      </c>
      <c r="B384" s="13">
        <v>28.650000000000002</v>
      </c>
      <c r="C384" s="16">
        <f t="shared" si="27"/>
        <v>38.200000000000003</v>
      </c>
      <c r="D384" s="16">
        <f t="shared" si="28"/>
        <v>57.300000000000004</v>
      </c>
      <c r="E384" s="32">
        <f t="shared" si="26"/>
        <v>32.947499999999998</v>
      </c>
      <c r="F384" s="16">
        <f t="shared" si="29"/>
        <v>25.011450000000004</v>
      </c>
    </row>
    <row r="385" spans="1:6" s="17" customFormat="1" x14ac:dyDescent="0.25">
      <c r="A385" s="2" t="s">
        <v>352</v>
      </c>
      <c r="B385" s="13">
        <v>23.700000000000003</v>
      </c>
      <c r="C385" s="16">
        <f t="shared" si="27"/>
        <v>31.600000000000005</v>
      </c>
      <c r="D385" s="16">
        <f t="shared" si="28"/>
        <v>47.400000000000006</v>
      </c>
      <c r="E385" s="32">
        <f t="shared" si="26"/>
        <v>27.255000000000003</v>
      </c>
      <c r="F385" s="16">
        <f t="shared" si="29"/>
        <v>20.690100000000001</v>
      </c>
    </row>
    <row r="386" spans="1:6" s="17" customFormat="1" x14ac:dyDescent="0.25">
      <c r="A386" s="2" t="s">
        <v>353</v>
      </c>
      <c r="B386" s="13">
        <v>25.950000000000003</v>
      </c>
      <c r="C386" s="16">
        <f t="shared" si="27"/>
        <v>34.6</v>
      </c>
      <c r="D386" s="16">
        <f t="shared" si="28"/>
        <v>51.900000000000006</v>
      </c>
      <c r="E386" s="32">
        <f t="shared" si="26"/>
        <v>29.842500000000001</v>
      </c>
      <c r="F386" s="16">
        <f t="shared" si="29"/>
        <v>22.654350000000001</v>
      </c>
    </row>
    <row r="387" spans="1:6" s="17" customFormat="1" x14ac:dyDescent="0.25">
      <c r="A387" s="2" t="s">
        <v>354</v>
      </c>
      <c r="B387" s="13">
        <v>26.700000000000003</v>
      </c>
      <c r="C387" s="16">
        <f t="shared" si="27"/>
        <v>35.6</v>
      </c>
      <c r="D387" s="16">
        <f t="shared" si="28"/>
        <v>53.400000000000006</v>
      </c>
      <c r="E387" s="32">
        <f t="shared" si="26"/>
        <v>30.705000000000002</v>
      </c>
      <c r="F387" s="16">
        <f t="shared" si="29"/>
        <v>23.309100000000001</v>
      </c>
    </row>
    <row r="388" spans="1:6" s="17" customFormat="1" x14ac:dyDescent="0.25">
      <c r="A388" s="2" t="s">
        <v>355</v>
      </c>
      <c r="B388" s="13">
        <v>27.900000000000002</v>
      </c>
      <c r="C388" s="16">
        <f t="shared" si="27"/>
        <v>37.200000000000003</v>
      </c>
      <c r="D388" s="16">
        <f t="shared" si="28"/>
        <v>55.800000000000004</v>
      </c>
      <c r="E388" s="32">
        <f t="shared" si="26"/>
        <v>32.085000000000001</v>
      </c>
      <c r="F388" s="16">
        <f t="shared" si="29"/>
        <v>24.356700000000004</v>
      </c>
    </row>
    <row r="389" spans="1:6" s="17" customFormat="1" x14ac:dyDescent="0.25">
      <c r="A389" s="2" t="s">
        <v>356</v>
      </c>
      <c r="B389" s="13">
        <v>29.550000000000004</v>
      </c>
      <c r="C389" s="16">
        <f t="shared" si="27"/>
        <v>39.400000000000006</v>
      </c>
      <c r="D389" s="16">
        <f t="shared" si="28"/>
        <v>59.100000000000009</v>
      </c>
      <c r="E389" s="32">
        <f t="shared" si="26"/>
        <v>33.982500000000002</v>
      </c>
      <c r="F389" s="16">
        <f t="shared" si="29"/>
        <v>25.797150000000002</v>
      </c>
    </row>
    <row r="390" spans="1:6" s="17" customFormat="1" x14ac:dyDescent="0.25">
      <c r="A390" s="30" t="s">
        <v>882</v>
      </c>
      <c r="B390" s="13">
        <v>29.7</v>
      </c>
      <c r="C390" s="16">
        <f t="shared" si="27"/>
        <v>39.6</v>
      </c>
      <c r="D390" s="16">
        <f t="shared" si="28"/>
        <v>59.4</v>
      </c>
      <c r="E390" s="32">
        <f t="shared" si="26"/>
        <v>34.154999999999994</v>
      </c>
      <c r="F390" s="16">
        <f t="shared" si="29"/>
        <v>25.928100000000001</v>
      </c>
    </row>
    <row r="391" spans="1:6" s="17" customFormat="1" x14ac:dyDescent="0.25">
      <c r="A391" s="2" t="s">
        <v>357</v>
      </c>
      <c r="B391" s="13">
        <v>70.050000000000011</v>
      </c>
      <c r="C391" s="16">
        <f t="shared" si="27"/>
        <v>93.40000000000002</v>
      </c>
      <c r="D391" s="16">
        <f t="shared" si="28"/>
        <v>140.10000000000002</v>
      </c>
      <c r="E391" s="32">
        <f t="shared" si="26"/>
        <v>80.557500000000005</v>
      </c>
      <c r="F391" s="16">
        <f t="shared" si="29"/>
        <v>61.153650000000013</v>
      </c>
    </row>
    <row r="392" spans="1:6" s="17" customFormat="1" x14ac:dyDescent="0.25">
      <c r="A392" s="2" t="s">
        <v>358</v>
      </c>
      <c r="B392" s="13">
        <v>104.69999999999999</v>
      </c>
      <c r="C392" s="16">
        <f t="shared" si="27"/>
        <v>139.6</v>
      </c>
      <c r="D392" s="16">
        <f t="shared" si="28"/>
        <v>209.39999999999998</v>
      </c>
      <c r="E392" s="32">
        <f t="shared" si="26"/>
        <v>120.40499999999997</v>
      </c>
      <c r="F392" s="16">
        <f t="shared" si="29"/>
        <v>91.403099999999995</v>
      </c>
    </row>
    <row r="393" spans="1:6" s="17" customFormat="1" x14ac:dyDescent="0.25">
      <c r="A393" s="2" t="s">
        <v>359</v>
      </c>
      <c r="B393" s="13">
        <v>66.300000000000011</v>
      </c>
      <c r="C393" s="16">
        <f t="shared" si="27"/>
        <v>88.40000000000002</v>
      </c>
      <c r="D393" s="16">
        <f t="shared" si="28"/>
        <v>132.60000000000002</v>
      </c>
      <c r="E393" s="32">
        <f t="shared" si="26"/>
        <v>76.245000000000005</v>
      </c>
      <c r="F393" s="16">
        <f t="shared" si="29"/>
        <v>57.879900000000006</v>
      </c>
    </row>
    <row r="394" spans="1:6" s="17" customFormat="1" x14ac:dyDescent="0.25">
      <c r="A394" s="2" t="s">
        <v>360</v>
      </c>
      <c r="B394" s="13">
        <v>100.80000000000001</v>
      </c>
      <c r="C394" s="16">
        <f t="shared" si="27"/>
        <v>134.4</v>
      </c>
      <c r="D394" s="16">
        <f t="shared" si="28"/>
        <v>201.60000000000002</v>
      </c>
      <c r="E394" s="32">
        <f t="shared" si="26"/>
        <v>115.92</v>
      </c>
      <c r="F394" s="16">
        <f t="shared" si="29"/>
        <v>87.998400000000004</v>
      </c>
    </row>
    <row r="395" spans="1:6" s="17" customFormat="1" x14ac:dyDescent="0.25">
      <c r="A395" s="2" t="s">
        <v>361</v>
      </c>
      <c r="B395" s="13">
        <v>66.900000000000006</v>
      </c>
      <c r="C395" s="16">
        <f t="shared" si="27"/>
        <v>89.2</v>
      </c>
      <c r="D395" s="16">
        <f t="shared" si="28"/>
        <v>133.80000000000001</v>
      </c>
      <c r="E395" s="32">
        <f t="shared" si="26"/>
        <v>76.935000000000002</v>
      </c>
      <c r="F395" s="16">
        <f t="shared" si="29"/>
        <v>58.403700000000008</v>
      </c>
    </row>
    <row r="396" spans="1:6" s="17" customFormat="1" x14ac:dyDescent="0.25">
      <c r="A396" s="2" t="s">
        <v>362</v>
      </c>
      <c r="B396" s="13">
        <v>102.9</v>
      </c>
      <c r="C396" s="16">
        <f t="shared" si="27"/>
        <v>137.20000000000002</v>
      </c>
      <c r="D396" s="16">
        <f t="shared" si="28"/>
        <v>205.8</v>
      </c>
      <c r="E396" s="32">
        <f t="shared" si="26"/>
        <v>118.33499999999999</v>
      </c>
      <c r="F396" s="16">
        <f t="shared" si="29"/>
        <v>89.831699999999998</v>
      </c>
    </row>
    <row r="397" spans="1:6" s="17" customFormat="1" x14ac:dyDescent="0.25">
      <c r="A397" s="2" t="s">
        <v>363</v>
      </c>
      <c r="B397" s="13">
        <v>81</v>
      </c>
      <c r="C397" s="16">
        <f t="shared" si="27"/>
        <v>108</v>
      </c>
      <c r="D397" s="16">
        <f t="shared" si="28"/>
        <v>162</v>
      </c>
      <c r="E397" s="32">
        <f t="shared" si="26"/>
        <v>93.149999999999991</v>
      </c>
      <c r="F397" s="16">
        <f t="shared" si="29"/>
        <v>70.712999999999994</v>
      </c>
    </row>
    <row r="398" spans="1:6" s="17" customFormat="1" x14ac:dyDescent="0.25">
      <c r="A398" s="2" t="s">
        <v>364</v>
      </c>
      <c r="B398" s="13">
        <v>84.300000000000011</v>
      </c>
      <c r="C398" s="16">
        <f t="shared" si="27"/>
        <v>112.40000000000002</v>
      </c>
      <c r="D398" s="16">
        <f t="shared" si="28"/>
        <v>168.60000000000002</v>
      </c>
      <c r="E398" s="32">
        <f t="shared" ref="E398:E430" si="30">B398*1.15</f>
        <v>96.945000000000007</v>
      </c>
      <c r="F398" s="16">
        <f t="shared" si="29"/>
        <v>73.593900000000005</v>
      </c>
    </row>
    <row r="399" spans="1:6" s="17" customFormat="1" x14ac:dyDescent="0.25">
      <c r="A399" s="4">
        <v>6898.99</v>
      </c>
      <c r="B399" s="13">
        <v>63.900000000000006</v>
      </c>
      <c r="C399" s="16">
        <f t="shared" si="27"/>
        <v>85.2</v>
      </c>
      <c r="D399" s="16">
        <f t="shared" si="28"/>
        <v>127.80000000000001</v>
      </c>
      <c r="E399" s="32">
        <f t="shared" si="30"/>
        <v>73.484999999999999</v>
      </c>
      <c r="F399" s="16">
        <f t="shared" si="29"/>
        <v>55.784700000000008</v>
      </c>
    </row>
    <row r="400" spans="1:6" s="17" customFormat="1" x14ac:dyDescent="0.25">
      <c r="A400" s="37" t="s">
        <v>405</v>
      </c>
      <c r="B400" s="38"/>
      <c r="C400" s="38"/>
      <c r="D400" s="38"/>
      <c r="E400" s="38"/>
      <c r="F400" s="39"/>
    </row>
    <row r="401" spans="1:6" s="17" customFormat="1" x14ac:dyDescent="0.25">
      <c r="A401" s="2" t="s">
        <v>365</v>
      </c>
      <c r="B401" s="13">
        <v>34.950000000000003</v>
      </c>
      <c r="C401" s="16">
        <f t="shared" si="27"/>
        <v>46.6</v>
      </c>
      <c r="D401" s="16">
        <f t="shared" si="28"/>
        <v>69.900000000000006</v>
      </c>
      <c r="E401" s="32">
        <f t="shared" si="30"/>
        <v>40.192500000000003</v>
      </c>
      <c r="F401" s="16">
        <f>B401*0.873</f>
        <v>30.511350000000004</v>
      </c>
    </row>
    <row r="402" spans="1:6" s="17" customFormat="1" x14ac:dyDescent="0.25">
      <c r="A402" s="2" t="s">
        <v>366</v>
      </c>
      <c r="B402" s="13">
        <v>1.9500000000000002</v>
      </c>
      <c r="C402" s="16">
        <f t="shared" si="27"/>
        <v>2.6</v>
      </c>
      <c r="D402" s="16">
        <f t="shared" si="28"/>
        <v>3.9000000000000004</v>
      </c>
      <c r="E402" s="32">
        <f t="shared" si="30"/>
        <v>2.2425000000000002</v>
      </c>
      <c r="F402" s="16">
        <f t="shared" ref="F402:F404" si="31">B402*0.873</f>
        <v>1.7023500000000003</v>
      </c>
    </row>
    <row r="403" spans="1:6" s="17" customFormat="1" x14ac:dyDescent="0.25">
      <c r="A403" s="2" t="s">
        <v>367</v>
      </c>
      <c r="B403" s="13">
        <v>9</v>
      </c>
      <c r="C403" s="16">
        <f t="shared" ref="C403:C430" si="32">B403/0.75</f>
        <v>12</v>
      </c>
      <c r="D403" s="16">
        <f t="shared" ref="D403:D430" si="33">B403*2</f>
        <v>18</v>
      </c>
      <c r="E403" s="32">
        <f t="shared" si="30"/>
        <v>10.35</v>
      </c>
      <c r="F403" s="16">
        <f t="shared" si="31"/>
        <v>7.8570000000000002</v>
      </c>
    </row>
    <row r="404" spans="1:6" s="17" customFormat="1" x14ac:dyDescent="0.25">
      <c r="A404" s="2" t="s">
        <v>368</v>
      </c>
      <c r="B404" s="13">
        <v>13.950000000000001</v>
      </c>
      <c r="C404" s="16">
        <f t="shared" si="32"/>
        <v>18.600000000000001</v>
      </c>
      <c r="D404" s="16">
        <f t="shared" si="33"/>
        <v>27.900000000000002</v>
      </c>
      <c r="E404" s="32">
        <f t="shared" si="30"/>
        <v>16.0425</v>
      </c>
      <c r="F404" s="16">
        <f t="shared" si="31"/>
        <v>12.178350000000002</v>
      </c>
    </row>
    <row r="405" spans="1:6" s="17" customFormat="1" x14ac:dyDescent="0.25">
      <c r="A405" s="37" t="s">
        <v>394</v>
      </c>
      <c r="B405" s="38"/>
      <c r="C405" s="38"/>
      <c r="D405" s="38"/>
      <c r="E405" s="38"/>
      <c r="F405" s="39"/>
    </row>
    <row r="406" spans="1:6" s="17" customFormat="1" x14ac:dyDescent="0.25">
      <c r="A406" s="6" t="s">
        <v>369</v>
      </c>
      <c r="B406" s="13">
        <v>235.05</v>
      </c>
      <c r="C406" s="16">
        <f t="shared" si="32"/>
        <v>313.40000000000003</v>
      </c>
      <c r="D406" s="16">
        <f t="shared" si="33"/>
        <v>470.1</v>
      </c>
      <c r="E406" s="32">
        <f t="shared" si="30"/>
        <v>270.3075</v>
      </c>
      <c r="F406" s="16">
        <f>B406*0.873</f>
        <v>205.19865000000001</v>
      </c>
    </row>
    <row r="407" spans="1:6" s="17" customFormat="1" x14ac:dyDescent="0.25">
      <c r="A407" s="6" t="s">
        <v>370</v>
      </c>
      <c r="B407" s="13">
        <v>272.70000000000005</v>
      </c>
      <c r="C407" s="16">
        <f t="shared" si="32"/>
        <v>363.60000000000008</v>
      </c>
      <c r="D407" s="16">
        <f t="shared" si="33"/>
        <v>545.40000000000009</v>
      </c>
      <c r="E407" s="32">
        <f t="shared" si="30"/>
        <v>313.60500000000002</v>
      </c>
      <c r="F407" s="16">
        <f t="shared" ref="F407:F430" si="34">B407*0.873</f>
        <v>238.06710000000004</v>
      </c>
    </row>
    <row r="408" spans="1:6" s="17" customFormat="1" x14ac:dyDescent="0.25">
      <c r="A408" s="7" t="s">
        <v>371</v>
      </c>
      <c r="B408" s="13">
        <v>25.650000000000002</v>
      </c>
      <c r="C408" s="16">
        <f t="shared" si="32"/>
        <v>34.200000000000003</v>
      </c>
      <c r="D408" s="16">
        <f t="shared" si="33"/>
        <v>51.300000000000004</v>
      </c>
      <c r="E408" s="32">
        <f t="shared" si="30"/>
        <v>29.497499999999999</v>
      </c>
      <c r="F408" s="16">
        <f t="shared" si="34"/>
        <v>22.39245</v>
      </c>
    </row>
    <row r="409" spans="1:6" s="17" customFormat="1" x14ac:dyDescent="0.25">
      <c r="A409" s="7" t="s">
        <v>372</v>
      </c>
      <c r="B409" s="13">
        <v>163.65</v>
      </c>
      <c r="C409" s="16">
        <f t="shared" si="32"/>
        <v>218.20000000000002</v>
      </c>
      <c r="D409" s="16">
        <f t="shared" si="33"/>
        <v>327.3</v>
      </c>
      <c r="E409" s="32">
        <f t="shared" si="30"/>
        <v>188.19749999999999</v>
      </c>
      <c r="F409" s="16">
        <f t="shared" si="34"/>
        <v>142.86645000000001</v>
      </c>
    </row>
    <row r="410" spans="1:6" s="17" customFormat="1" x14ac:dyDescent="0.25">
      <c r="A410" s="7" t="s">
        <v>373</v>
      </c>
      <c r="B410" s="13">
        <v>163.65</v>
      </c>
      <c r="C410" s="16">
        <f t="shared" si="32"/>
        <v>218.20000000000002</v>
      </c>
      <c r="D410" s="16">
        <f t="shared" si="33"/>
        <v>327.3</v>
      </c>
      <c r="E410" s="32">
        <f t="shared" si="30"/>
        <v>188.19749999999999</v>
      </c>
      <c r="F410" s="16">
        <f t="shared" si="34"/>
        <v>142.86645000000001</v>
      </c>
    </row>
    <row r="411" spans="1:6" s="17" customFormat="1" x14ac:dyDescent="0.25">
      <c r="A411" s="7" t="s">
        <v>374</v>
      </c>
      <c r="B411" s="13">
        <v>35.400000000000006</v>
      </c>
      <c r="C411" s="16">
        <f t="shared" si="32"/>
        <v>47.20000000000001</v>
      </c>
      <c r="D411" s="16">
        <f t="shared" si="33"/>
        <v>70.800000000000011</v>
      </c>
      <c r="E411" s="32">
        <f t="shared" si="30"/>
        <v>40.71</v>
      </c>
      <c r="F411" s="16">
        <f t="shared" si="34"/>
        <v>30.904200000000007</v>
      </c>
    </row>
    <row r="412" spans="1:6" s="17" customFormat="1" x14ac:dyDescent="0.25">
      <c r="A412" s="7" t="s">
        <v>375</v>
      </c>
      <c r="B412" s="13">
        <v>41.85</v>
      </c>
      <c r="C412" s="16">
        <f t="shared" si="32"/>
        <v>55.800000000000004</v>
      </c>
      <c r="D412" s="16">
        <f t="shared" si="33"/>
        <v>83.7</v>
      </c>
      <c r="E412" s="32">
        <f t="shared" si="30"/>
        <v>48.127499999999998</v>
      </c>
      <c r="F412" s="16">
        <f t="shared" si="34"/>
        <v>36.535049999999998</v>
      </c>
    </row>
    <row r="413" spans="1:6" s="17" customFormat="1" x14ac:dyDescent="0.25">
      <c r="A413" s="7" t="s">
        <v>376</v>
      </c>
      <c r="B413" s="13">
        <v>284.85000000000002</v>
      </c>
      <c r="C413" s="16">
        <f t="shared" si="32"/>
        <v>379.8</v>
      </c>
      <c r="D413" s="16">
        <f t="shared" si="33"/>
        <v>569.70000000000005</v>
      </c>
      <c r="E413" s="32">
        <f t="shared" si="30"/>
        <v>327.57749999999999</v>
      </c>
      <c r="F413" s="16">
        <f t="shared" si="34"/>
        <v>248.67405000000002</v>
      </c>
    </row>
    <row r="414" spans="1:6" s="17" customFormat="1" x14ac:dyDescent="0.25">
      <c r="A414" s="7" t="s">
        <v>377</v>
      </c>
      <c r="B414" s="13">
        <v>397.20000000000005</v>
      </c>
      <c r="C414" s="16">
        <f t="shared" si="32"/>
        <v>529.6</v>
      </c>
      <c r="D414" s="16">
        <f t="shared" si="33"/>
        <v>794.40000000000009</v>
      </c>
      <c r="E414" s="32">
        <f t="shared" si="30"/>
        <v>456.78000000000003</v>
      </c>
      <c r="F414" s="16">
        <f t="shared" si="34"/>
        <v>346.75560000000002</v>
      </c>
    </row>
    <row r="415" spans="1:6" s="17" customFormat="1" x14ac:dyDescent="0.25">
      <c r="A415" s="7" t="s">
        <v>378</v>
      </c>
      <c r="B415" s="13">
        <v>444.75</v>
      </c>
      <c r="C415" s="16">
        <f t="shared" si="32"/>
        <v>593</v>
      </c>
      <c r="D415" s="16">
        <f t="shared" si="33"/>
        <v>889.5</v>
      </c>
      <c r="E415" s="32">
        <f t="shared" si="30"/>
        <v>511.46249999999998</v>
      </c>
      <c r="F415" s="16">
        <f t="shared" si="34"/>
        <v>388.26675</v>
      </c>
    </row>
    <row r="416" spans="1:6" s="17" customFormat="1" x14ac:dyDescent="0.25">
      <c r="A416" s="7" t="s">
        <v>379</v>
      </c>
      <c r="B416" s="13">
        <v>11.25</v>
      </c>
      <c r="C416" s="16">
        <f t="shared" si="32"/>
        <v>15</v>
      </c>
      <c r="D416" s="16">
        <f t="shared" si="33"/>
        <v>22.5</v>
      </c>
      <c r="E416" s="32">
        <f t="shared" si="30"/>
        <v>12.937499999999998</v>
      </c>
      <c r="F416" s="16">
        <f t="shared" si="34"/>
        <v>9.8212499999999991</v>
      </c>
    </row>
    <row r="417" spans="1:6" s="17" customFormat="1" x14ac:dyDescent="0.25">
      <c r="A417" s="7" t="s">
        <v>380</v>
      </c>
      <c r="B417" s="13">
        <v>345.45000000000005</v>
      </c>
      <c r="C417" s="16">
        <f t="shared" si="32"/>
        <v>460.60000000000008</v>
      </c>
      <c r="D417" s="16">
        <f t="shared" si="33"/>
        <v>690.90000000000009</v>
      </c>
      <c r="E417" s="32">
        <f t="shared" si="30"/>
        <v>397.26750000000004</v>
      </c>
      <c r="F417" s="16">
        <f t="shared" si="34"/>
        <v>301.57785000000001</v>
      </c>
    </row>
    <row r="418" spans="1:6" s="17" customFormat="1" x14ac:dyDescent="0.25">
      <c r="A418" s="7" t="s">
        <v>381</v>
      </c>
      <c r="B418" s="13">
        <v>373.05</v>
      </c>
      <c r="C418" s="16">
        <f t="shared" si="32"/>
        <v>497.40000000000003</v>
      </c>
      <c r="D418" s="16">
        <f t="shared" si="33"/>
        <v>746.1</v>
      </c>
      <c r="E418" s="32">
        <f t="shared" si="30"/>
        <v>429.00749999999999</v>
      </c>
      <c r="F418" s="16">
        <f t="shared" si="34"/>
        <v>325.67265000000003</v>
      </c>
    </row>
    <row r="419" spans="1:6" s="17" customFormat="1" x14ac:dyDescent="0.25">
      <c r="A419" s="7" t="s">
        <v>382</v>
      </c>
      <c r="B419" s="13">
        <v>307.65000000000003</v>
      </c>
      <c r="C419" s="16">
        <f t="shared" si="32"/>
        <v>410.20000000000005</v>
      </c>
      <c r="D419" s="16">
        <f t="shared" si="33"/>
        <v>615.30000000000007</v>
      </c>
      <c r="E419" s="32">
        <f t="shared" si="30"/>
        <v>353.79750000000001</v>
      </c>
      <c r="F419" s="16">
        <f t="shared" si="34"/>
        <v>268.57845000000003</v>
      </c>
    </row>
    <row r="420" spans="1:6" s="17" customFormat="1" x14ac:dyDescent="0.25">
      <c r="A420" s="7" t="s">
        <v>383</v>
      </c>
      <c r="B420" s="13">
        <v>307.65000000000003</v>
      </c>
      <c r="C420" s="16">
        <f t="shared" si="32"/>
        <v>410.20000000000005</v>
      </c>
      <c r="D420" s="16">
        <f t="shared" si="33"/>
        <v>615.30000000000007</v>
      </c>
      <c r="E420" s="32">
        <f t="shared" si="30"/>
        <v>353.79750000000001</v>
      </c>
      <c r="F420" s="16">
        <f t="shared" si="34"/>
        <v>268.57845000000003</v>
      </c>
    </row>
    <row r="421" spans="1:6" s="17" customFormat="1" x14ac:dyDescent="0.25">
      <c r="A421" s="7" t="s">
        <v>384</v>
      </c>
      <c r="B421" s="13">
        <v>33.75</v>
      </c>
      <c r="C421" s="16">
        <f t="shared" si="32"/>
        <v>45</v>
      </c>
      <c r="D421" s="16">
        <f t="shared" si="33"/>
        <v>67.5</v>
      </c>
      <c r="E421" s="32">
        <f t="shared" si="30"/>
        <v>38.8125</v>
      </c>
      <c r="F421" s="16">
        <f t="shared" si="34"/>
        <v>29.463750000000001</v>
      </c>
    </row>
    <row r="422" spans="1:6" s="17" customFormat="1" x14ac:dyDescent="0.25">
      <c r="A422" s="7" t="s">
        <v>385</v>
      </c>
      <c r="B422" s="13">
        <v>37.5</v>
      </c>
      <c r="C422" s="16">
        <f t="shared" si="32"/>
        <v>50</v>
      </c>
      <c r="D422" s="16">
        <f t="shared" si="33"/>
        <v>75</v>
      </c>
      <c r="E422" s="32">
        <f t="shared" si="30"/>
        <v>43.125</v>
      </c>
      <c r="F422" s="16">
        <f t="shared" si="34"/>
        <v>32.737499999999997</v>
      </c>
    </row>
    <row r="423" spans="1:6" s="17" customFormat="1" x14ac:dyDescent="0.25">
      <c r="A423" s="7" t="s">
        <v>386</v>
      </c>
      <c r="B423" s="13">
        <v>46.2</v>
      </c>
      <c r="C423" s="16">
        <f t="shared" si="32"/>
        <v>61.6</v>
      </c>
      <c r="D423" s="16">
        <f t="shared" si="33"/>
        <v>92.4</v>
      </c>
      <c r="E423" s="32">
        <f t="shared" si="30"/>
        <v>53.13</v>
      </c>
      <c r="F423" s="16">
        <f t="shared" si="34"/>
        <v>40.332599999999999</v>
      </c>
    </row>
    <row r="424" spans="1:6" s="17" customFormat="1" x14ac:dyDescent="0.25">
      <c r="A424" s="7" t="s">
        <v>387</v>
      </c>
      <c r="B424" s="13">
        <v>50.550000000000004</v>
      </c>
      <c r="C424" s="16">
        <f t="shared" si="32"/>
        <v>67.400000000000006</v>
      </c>
      <c r="D424" s="16">
        <f t="shared" si="33"/>
        <v>101.10000000000001</v>
      </c>
      <c r="E424" s="32">
        <f t="shared" si="30"/>
        <v>58.1325</v>
      </c>
      <c r="F424" s="16">
        <f t="shared" si="34"/>
        <v>44.13015</v>
      </c>
    </row>
    <row r="425" spans="1:6" s="17" customFormat="1" x14ac:dyDescent="0.25">
      <c r="A425" s="6" t="s">
        <v>388</v>
      </c>
      <c r="B425" s="13">
        <v>656.25</v>
      </c>
      <c r="C425" s="16">
        <f t="shared" si="32"/>
        <v>875</v>
      </c>
      <c r="D425" s="16">
        <f t="shared" si="33"/>
        <v>1312.5</v>
      </c>
      <c r="E425" s="32">
        <f t="shared" si="30"/>
        <v>754.68749999999989</v>
      </c>
      <c r="F425" s="16">
        <f t="shared" si="34"/>
        <v>572.90625</v>
      </c>
    </row>
    <row r="426" spans="1:6" s="17" customFormat="1" x14ac:dyDescent="0.25">
      <c r="A426" s="7" t="s">
        <v>389</v>
      </c>
      <c r="B426" s="13">
        <v>443.25</v>
      </c>
      <c r="C426" s="16">
        <f t="shared" si="32"/>
        <v>591</v>
      </c>
      <c r="D426" s="16">
        <f t="shared" si="33"/>
        <v>886.5</v>
      </c>
      <c r="E426" s="32">
        <f t="shared" si="30"/>
        <v>509.73749999999995</v>
      </c>
      <c r="F426" s="16">
        <f t="shared" si="34"/>
        <v>386.95724999999999</v>
      </c>
    </row>
    <row r="427" spans="1:6" s="17" customFormat="1" x14ac:dyDescent="0.25">
      <c r="A427" s="7" t="s">
        <v>390</v>
      </c>
      <c r="B427" s="13">
        <v>785.25</v>
      </c>
      <c r="C427" s="16">
        <f t="shared" si="32"/>
        <v>1047</v>
      </c>
      <c r="D427" s="16">
        <f t="shared" si="33"/>
        <v>1570.5</v>
      </c>
      <c r="E427" s="32">
        <f t="shared" si="30"/>
        <v>903.03749999999991</v>
      </c>
      <c r="F427" s="16">
        <f t="shared" si="34"/>
        <v>685.52324999999996</v>
      </c>
    </row>
    <row r="428" spans="1:6" s="17" customFormat="1" x14ac:dyDescent="0.25">
      <c r="A428" s="7" t="s">
        <v>391</v>
      </c>
      <c r="B428" s="13">
        <v>785.25</v>
      </c>
      <c r="C428" s="16">
        <f t="shared" si="32"/>
        <v>1047</v>
      </c>
      <c r="D428" s="16">
        <f t="shared" si="33"/>
        <v>1570.5</v>
      </c>
      <c r="E428" s="32">
        <f t="shared" si="30"/>
        <v>903.03749999999991</v>
      </c>
      <c r="F428" s="16">
        <f t="shared" si="34"/>
        <v>685.52324999999996</v>
      </c>
    </row>
    <row r="429" spans="1:6" s="17" customFormat="1" x14ac:dyDescent="0.25">
      <c r="A429" s="7" t="s">
        <v>392</v>
      </c>
      <c r="B429" s="13">
        <v>79.050000000000011</v>
      </c>
      <c r="C429" s="16">
        <f t="shared" si="32"/>
        <v>105.40000000000002</v>
      </c>
      <c r="D429" s="16">
        <f t="shared" si="33"/>
        <v>158.10000000000002</v>
      </c>
      <c r="E429" s="32">
        <f t="shared" si="30"/>
        <v>90.907500000000013</v>
      </c>
      <c r="F429" s="16">
        <f t="shared" si="34"/>
        <v>69.010650000000012</v>
      </c>
    </row>
    <row r="430" spans="1:6" s="17" customFormat="1" x14ac:dyDescent="0.25">
      <c r="A430" s="7" t="s">
        <v>393</v>
      </c>
      <c r="B430" s="13">
        <v>85.350000000000009</v>
      </c>
      <c r="C430" s="16">
        <f t="shared" si="32"/>
        <v>113.80000000000001</v>
      </c>
      <c r="D430" s="16">
        <f t="shared" si="33"/>
        <v>170.70000000000002</v>
      </c>
      <c r="E430" s="32">
        <f t="shared" si="30"/>
        <v>98.152500000000003</v>
      </c>
      <c r="F430" s="16">
        <f t="shared" si="34"/>
        <v>74.510550000000009</v>
      </c>
    </row>
  </sheetData>
  <mergeCells count="11">
    <mergeCell ref="A2:F2"/>
    <mergeCell ref="A28:F28"/>
    <mergeCell ref="A45:F45"/>
    <mergeCell ref="A80:F80"/>
    <mergeCell ref="A274:F274"/>
    <mergeCell ref="A405:F405"/>
    <mergeCell ref="A281:F281"/>
    <mergeCell ref="A327:F327"/>
    <mergeCell ref="A349:F349"/>
    <mergeCell ref="A353:F353"/>
    <mergeCell ref="A400:F400"/>
  </mergeCells>
  <pageMargins left="0.7" right="0.7" top="0.75" bottom="0.75" header="0.3" footer="0.3"/>
  <pageSetup orientation="portrait" r:id="rId1"/>
  <headerFooter>
    <oddHeader>&amp;CDistributor US Price List
Effective January 1, 2017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"/>
  <sheetViews>
    <sheetView workbookViewId="0">
      <selection sqref="A1:E1"/>
    </sheetView>
  </sheetViews>
  <sheetFormatPr defaultRowHeight="15" x14ac:dyDescent="0.25"/>
  <cols>
    <col min="1" max="1" width="35.28515625" style="10" bestFit="1" customWidth="1"/>
    <col min="2" max="2" width="48" style="10" bestFit="1" customWidth="1"/>
    <col min="3" max="3" width="14.42578125" bestFit="1" customWidth="1"/>
    <col min="4" max="4" width="9" bestFit="1" customWidth="1"/>
  </cols>
  <sheetData>
    <row r="1" spans="1:5" ht="37.5" customHeight="1" x14ac:dyDescent="0.4">
      <c r="A1" s="42" t="s">
        <v>876</v>
      </c>
      <c r="B1" s="43"/>
      <c r="C1" s="43"/>
      <c r="D1" s="43"/>
      <c r="E1" s="43"/>
    </row>
    <row r="2" spans="1:5" x14ac:dyDescent="0.25">
      <c r="A2" s="19" t="s">
        <v>406</v>
      </c>
      <c r="B2" s="20" t="s">
        <v>407</v>
      </c>
      <c r="C2" s="15" t="s">
        <v>408</v>
      </c>
      <c r="D2" s="15" t="s">
        <v>409</v>
      </c>
    </row>
    <row r="3" spans="1:5" x14ac:dyDescent="0.25">
      <c r="A3" s="21" t="s">
        <v>410</v>
      </c>
      <c r="B3" s="22" t="s">
        <v>411</v>
      </c>
      <c r="C3" s="11">
        <v>3.5</v>
      </c>
      <c r="D3" s="5">
        <v>7</v>
      </c>
    </row>
    <row r="4" spans="1:5" x14ac:dyDescent="0.25">
      <c r="A4" s="21" t="s">
        <v>412</v>
      </c>
      <c r="B4" s="22" t="s">
        <v>413</v>
      </c>
      <c r="C4" s="11">
        <v>6.3000000000000007</v>
      </c>
      <c r="D4" s="5">
        <v>12.600000000000001</v>
      </c>
    </row>
    <row r="5" spans="1:5" x14ac:dyDescent="0.25">
      <c r="A5" s="21" t="s">
        <v>414</v>
      </c>
      <c r="B5" s="22" t="s">
        <v>415</v>
      </c>
      <c r="C5" s="11">
        <v>5.6000000000000005</v>
      </c>
      <c r="D5" s="5">
        <v>11.200000000000001</v>
      </c>
    </row>
    <row r="6" spans="1:5" x14ac:dyDescent="0.25">
      <c r="A6" s="21" t="s">
        <v>416</v>
      </c>
      <c r="B6" s="22" t="s">
        <v>417</v>
      </c>
      <c r="C6" s="11">
        <v>12.450000000000001</v>
      </c>
      <c r="D6" s="5">
        <v>24.900000000000002</v>
      </c>
    </row>
    <row r="7" spans="1:5" x14ac:dyDescent="0.25">
      <c r="A7" s="21" t="s">
        <v>418</v>
      </c>
      <c r="B7" s="22" t="s">
        <v>419</v>
      </c>
      <c r="C7" s="11">
        <v>9.1</v>
      </c>
      <c r="D7" s="5">
        <v>18.2</v>
      </c>
    </row>
    <row r="8" spans="1:5" x14ac:dyDescent="0.25">
      <c r="A8" s="21" t="s">
        <v>420</v>
      </c>
      <c r="B8" s="22" t="s">
        <v>421</v>
      </c>
      <c r="C8" s="11">
        <v>12.450000000000001</v>
      </c>
      <c r="D8" s="5">
        <v>24.900000000000002</v>
      </c>
    </row>
    <row r="9" spans="1:5" x14ac:dyDescent="0.25">
      <c r="A9" s="21" t="s">
        <v>422</v>
      </c>
      <c r="B9" s="22" t="s">
        <v>423</v>
      </c>
      <c r="C9" s="11">
        <v>9.1</v>
      </c>
      <c r="D9" s="5">
        <v>18.2</v>
      </c>
    </row>
    <row r="10" spans="1:5" x14ac:dyDescent="0.25">
      <c r="A10" s="21" t="s">
        <v>424</v>
      </c>
      <c r="B10" s="22" t="s">
        <v>425</v>
      </c>
      <c r="C10" s="11">
        <v>9.1</v>
      </c>
      <c r="D10" s="5">
        <v>18.2</v>
      </c>
    </row>
    <row r="11" spans="1:5" x14ac:dyDescent="0.25">
      <c r="A11" s="21" t="s">
        <v>426</v>
      </c>
      <c r="B11" s="22" t="s">
        <v>427</v>
      </c>
      <c r="C11" s="11">
        <v>12.450000000000001</v>
      </c>
      <c r="D11" s="5">
        <v>24.900000000000002</v>
      </c>
    </row>
    <row r="12" spans="1:5" x14ac:dyDescent="0.25">
      <c r="A12" s="21" t="s">
        <v>428</v>
      </c>
      <c r="B12" s="22" t="s">
        <v>429</v>
      </c>
      <c r="C12" s="11">
        <v>0.15000000000000002</v>
      </c>
      <c r="D12" s="5">
        <v>0.30000000000000004</v>
      </c>
    </row>
    <row r="13" spans="1:5" x14ac:dyDescent="0.25">
      <c r="A13" s="21" t="s">
        <v>430</v>
      </c>
      <c r="B13" s="22" t="s">
        <v>431</v>
      </c>
      <c r="C13" s="11">
        <v>2.75</v>
      </c>
      <c r="D13" s="5">
        <v>5.5</v>
      </c>
    </row>
    <row r="14" spans="1:5" x14ac:dyDescent="0.25">
      <c r="A14" s="21" t="s">
        <v>432</v>
      </c>
      <c r="B14" s="22" t="s">
        <v>433</v>
      </c>
      <c r="C14" s="11">
        <v>2.4500000000000002</v>
      </c>
      <c r="D14" s="5">
        <v>4.9000000000000004</v>
      </c>
    </row>
    <row r="15" spans="1:5" x14ac:dyDescent="0.25">
      <c r="A15" s="21" t="s">
        <v>434</v>
      </c>
      <c r="B15" s="22" t="s">
        <v>435</v>
      </c>
      <c r="C15" s="11">
        <v>2.25</v>
      </c>
      <c r="D15" s="5">
        <v>4.5</v>
      </c>
    </row>
    <row r="16" spans="1:5" x14ac:dyDescent="0.25">
      <c r="A16" s="21" t="s">
        <v>436</v>
      </c>
      <c r="B16" s="22" t="s">
        <v>437</v>
      </c>
      <c r="C16" s="11">
        <v>1.9000000000000001</v>
      </c>
      <c r="D16" s="5">
        <v>3.8000000000000003</v>
      </c>
    </row>
    <row r="17" spans="1:4" x14ac:dyDescent="0.25">
      <c r="A17" s="21" t="s">
        <v>438</v>
      </c>
      <c r="B17" s="22" t="s">
        <v>439</v>
      </c>
      <c r="C17" s="11">
        <v>4.2</v>
      </c>
      <c r="D17" s="5">
        <v>8.4</v>
      </c>
    </row>
    <row r="18" spans="1:4" x14ac:dyDescent="0.25">
      <c r="A18" s="21" t="s">
        <v>440</v>
      </c>
      <c r="B18" s="22" t="s">
        <v>441</v>
      </c>
      <c r="C18" s="11">
        <v>0.30000000000000004</v>
      </c>
      <c r="D18" s="5">
        <v>0.60000000000000009</v>
      </c>
    </row>
    <row r="19" spans="1:4" x14ac:dyDescent="0.25">
      <c r="A19" s="21" t="s">
        <v>442</v>
      </c>
      <c r="B19" s="22" t="s">
        <v>443</v>
      </c>
      <c r="C19" s="11">
        <v>0.2</v>
      </c>
      <c r="D19" s="5">
        <v>0.4</v>
      </c>
    </row>
    <row r="20" spans="1:4" x14ac:dyDescent="0.25">
      <c r="A20" s="21" t="s">
        <v>444</v>
      </c>
      <c r="B20" s="22" t="s">
        <v>445</v>
      </c>
      <c r="C20" s="11">
        <v>1.25</v>
      </c>
      <c r="D20" s="5">
        <v>2.5</v>
      </c>
    </row>
    <row r="21" spans="1:4" x14ac:dyDescent="0.25">
      <c r="A21" s="21" t="s">
        <v>446</v>
      </c>
      <c r="B21" s="22" t="s">
        <v>447</v>
      </c>
      <c r="C21" s="11">
        <v>2</v>
      </c>
      <c r="D21" s="5">
        <v>4</v>
      </c>
    </row>
    <row r="22" spans="1:4" x14ac:dyDescent="0.25">
      <c r="A22" s="21" t="s">
        <v>448</v>
      </c>
      <c r="B22" s="22" t="s">
        <v>449</v>
      </c>
      <c r="C22" s="11">
        <v>17.350000000000001</v>
      </c>
      <c r="D22" s="5">
        <v>34.700000000000003</v>
      </c>
    </row>
    <row r="23" spans="1:4" x14ac:dyDescent="0.25">
      <c r="A23" s="21" t="s">
        <v>450</v>
      </c>
      <c r="B23" s="22" t="s">
        <v>449</v>
      </c>
      <c r="C23" s="11">
        <v>19.5</v>
      </c>
      <c r="D23" s="5">
        <v>39</v>
      </c>
    </row>
    <row r="24" spans="1:4" x14ac:dyDescent="0.25">
      <c r="A24" s="21" t="s">
        <v>451</v>
      </c>
      <c r="B24" s="22" t="s">
        <v>449</v>
      </c>
      <c r="C24" s="11">
        <v>8.7000000000000011</v>
      </c>
      <c r="D24" s="5">
        <v>17.400000000000002</v>
      </c>
    </row>
    <row r="25" spans="1:4" x14ac:dyDescent="0.25">
      <c r="A25" s="21" t="s">
        <v>452</v>
      </c>
      <c r="B25" s="22" t="s">
        <v>453</v>
      </c>
      <c r="C25" s="11">
        <v>10</v>
      </c>
      <c r="D25" s="5">
        <v>20</v>
      </c>
    </row>
    <row r="26" spans="1:4" x14ac:dyDescent="0.25">
      <c r="A26" s="21" t="s">
        <v>454</v>
      </c>
      <c r="B26" s="22" t="s">
        <v>453</v>
      </c>
      <c r="C26" s="11">
        <v>14.200000000000001</v>
      </c>
      <c r="D26" s="5">
        <v>28.400000000000002</v>
      </c>
    </row>
    <row r="27" spans="1:4" x14ac:dyDescent="0.25">
      <c r="A27" s="21" t="s">
        <v>455</v>
      </c>
      <c r="B27" s="22" t="s">
        <v>456</v>
      </c>
      <c r="C27" s="11">
        <v>3.75</v>
      </c>
      <c r="D27" s="5">
        <v>7.5</v>
      </c>
    </row>
    <row r="28" spans="1:4" x14ac:dyDescent="0.25">
      <c r="A28" s="21" t="s">
        <v>457</v>
      </c>
      <c r="B28" s="22" t="s">
        <v>458</v>
      </c>
      <c r="C28" s="11">
        <v>3.9000000000000004</v>
      </c>
      <c r="D28" s="5">
        <v>7.8000000000000007</v>
      </c>
    </row>
    <row r="29" spans="1:4" x14ac:dyDescent="0.25">
      <c r="A29" s="21" t="s">
        <v>459</v>
      </c>
      <c r="B29" s="22" t="s">
        <v>460</v>
      </c>
      <c r="C29" s="11">
        <v>3.75</v>
      </c>
      <c r="D29" s="5">
        <v>7.5</v>
      </c>
    </row>
    <row r="30" spans="1:4" x14ac:dyDescent="0.25">
      <c r="A30" s="21" t="s">
        <v>461</v>
      </c>
      <c r="B30" s="22" t="s">
        <v>462</v>
      </c>
      <c r="C30" s="11">
        <v>2.4500000000000002</v>
      </c>
      <c r="D30" s="5">
        <v>4.9000000000000004</v>
      </c>
    </row>
    <row r="31" spans="1:4" x14ac:dyDescent="0.25">
      <c r="A31" s="21" t="s">
        <v>463</v>
      </c>
      <c r="B31" s="22" t="s">
        <v>464</v>
      </c>
      <c r="C31" s="11">
        <v>2.4500000000000002</v>
      </c>
      <c r="D31" s="5">
        <v>4.9000000000000004</v>
      </c>
    </row>
    <row r="32" spans="1:4" x14ac:dyDescent="0.25">
      <c r="A32" s="21" t="s">
        <v>465</v>
      </c>
      <c r="B32" s="22" t="s">
        <v>466</v>
      </c>
      <c r="C32" s="11">
        <v>3.25</v>
      </c>
      <c r="D32" s="5">
        <v>6.5</v>
      </c>
    </row>
    <row r="33" spans="1:4" x14ac:dyDescent="0.25">
      <c r="A33" s="21" t="s">
        <v>467</v>
      </c>
      <c r="B33" s="22" t="s">
        <v>468</v>
      </c>
      <c r="C33" s="11">
        <v>14.9</v>
      </c>
      <c r="D33" s="5">
        <v>29.8</v>
      </c>
    </row>
    <row r="34" spans="1:4" x14ac:dyDescent="0.25">
      <c r="A34" s="21" t="s">
        <v>469</v>
      </c>
      <c r="B34" s="22" t="s">
        <v>470</v>
      </c>
      <c r="C34" s="11">
        <v>6.25</v>
      </c>
      <c r="D34" s="5">
        <v>12.5</v>
      </c>
    </row>
    <row r="35" spans="1:4" x14ac:dyDescent="0.25">
      <c r="A35" s="21" t="s">
        <v>471</v>
      </c>
      <c r="B35" s="22" t="s">
        <v>472</v>
      </c>
      <c r="C35" s="11">
        <v>0.30000000000000004</v>
      </c>
      <c r="D35" s="5">
        <v>0.60000000000000009</v>
      </c>
    </row>
    <row r="36" spans="1:4" x14ac:dyDescent="0.25">
      <c r="A36" s="21" t="s">
        <v>473</v>
      </c>
      <c r="B36" s="22" t="s">
        <v>474</v>
      </c>
      <c r="C36" s="11">
        <v>3.45</v>
      </c>
      <c r="D36" s="5">
        <v>6.9</v>
      </c>
    </row>
    <row r="37" spans="1:4" x14ac:dyDescent="0.25">
      <c r="A37" s="21" t="s">
        <v>475</v>
      </c>
      <c r="B37" s="22" t="s">
        <v>476</v>
      </c>
      <c r="C37" s="11">
        <v>3.45</v>
      </c>
      <c r="D37" s="5">
        <v>6.9</v>
      </c>
    </row>
    <row r="38" spans="1:4" x14ac:dyDescent="0.25">
      <c r="A38" s="21" t="s">
        <v>477</v>
      </c>
      <c r="B38" s="22" t="s">
        <v>478</v>
      </c>
      <c r="C38" s="11">
        <v>3.75</v>
      </c>
      <c r="D38" s="5">
        <v>7.5</v>
      </c>
    </row>
    <row r="39" spans="1:4" x14ac:dyDescent="0.25">
      <c r="A39" s="21" t="s">
        <v>479</v>
      </c>
      <c r="B39" s="22" t="s">
        <v>460</v>
      </c>
      <c r="C39" s="11">
        <v>3.75</v>
      </c>
      <c r="D39" s="5">
        <v>7.5</v>
      </c>
    </row>
    <row r="40" spans="1:4" x14ac:dyDescent="0.25">
      <c r="A40" s="21" t="s">
        <v>480</v>
      </c>
      <c r="B40" s="22" t="s">
        <v>481</v>
      </c>
      <c r="C40" s="11">
        <v>8.7000000000000011</v>
      </c>
      <c r="D40" s="5">
        <v>17.400000000000002</v>
      </c>
    </row>
    <row r="41" spans="1:4" x14ac:dyDescent="0.25">
      <c r="A41" s="21" t="s">
        <v>482</v>
      </c>
      <c r="B41" s="22" t="s">
        <v>483</v>
      </c>
      <c r="C41" s="11">
        <v>2.7</v>
      </c>
      <c r="D41" s="5">
        <v>5.4</v>
      </c>
    </row>
    <row r="42" spans="1:4" x14ac:dyDescent="0.25">
      <c r="A42" s="21" t="s">
        <v>484</v>
      </c>
      <c r="B42" s="22" t="s">
        <v>474</v>
      </c>
      <c r="C42" s="11">
        <v>2.3000000000000003</v>
      </c>
      <c r="D42" s="5">
        <v>4.6000000000000005</v>
      </c>
    </row>
    <row r="43" spans="1:4" x14ac:dyDescent="0.25">
      <c r="A43" s="21" t="s">
        <v>485</v>
      </c>
      <c r="B43" s="22" t="s">
        <v>486</v>
      </c>
      <c r="C43" s="11">
        <v>5</v>
      </c>
      <c r="D43" s="5">
        <v>10</v>
      </c>
    </row>
    <row r="44" spans="1:4" x14ac:dyDescent="0.25">
      <c r="A44" s="21" t="s">
        <v>487</v>
      </c>
      <c r="B44" s="22" t="s">
        <v>453</v>
      </c>
      <c r="C44" s="11">
        <v>7.5</v>
      </c>
      <c r="D44" s="5">
        <v>15</v>
      </c>
    </row>
    <row r="45" spans="1:4" x14ac:dyDescent="0.25">
      <c r="A45" s="21" t="s">
        <v>488</v>
      </c>
      <c r="B45" s="22" t="s">
        <v>481</v>
      </c>
      <c r="C45" s="11">
        <v>6.25</v>
      </c>
      <c r="D45" s="5">
        <v>12.5</v>
      </c>
    </row>
    <row r="46" spans="1:4" x14ac:dyDescent="0.25">
      <c r="A46" s="21" t="s">
        <v>489</v>
      </c>
      <c r="B46" s="22" t="s">
        <v>490</v>
      </c>
      <c r="C46" s="11">
        <v>5.9</v>
      </c>
      <c r="D46" s="5">
        <v>11.8</v>
      </c>
    </row>
    <row r="47" spans="1:4" x14ac:dyDescent="0.25">
      <c r="A47" s="21" t="s">
        <v>491</v>
      </c>
      <c r="B47" s="22" t="s">
        <v>492</v>
      </c>
      <c r="C47" s="11">
        <v>5.9</v>
      </c>
      <c r="D47" s="5">
        <v>11.8</v>
      </c>
    </row>
    <row r="48" spans="1:4" x14ac:dyDescent="0.25">
      <c r="A48" s="21" t="s">
        <v>493</v>
      </c>
      <c r="B48" s="22" t="s">
        <v>494</v>
      </c>
      <c r="C48" s="11">
        <v>3.95</v>
      </c>
      <c r="D48" s="5">
        <v>7.9</v>
      </c>
    </row>
    <row r="49" spans="1:4" x14ac:dyDescent="0.25">
      <c r="A49" s="21" t="s">
        <v>495</v>
      </c>
      <c r="B49" s="22" t="s">
        <v>496</v>
      </c>
      <c r="C49" s="11">
        <v>3.95</v>
      </c>
      <c r="D49" s="5">
        <v>7.9</v>
      </c>
    </row>
    <row r="50" spans="1:4" x14ac:dyDescent="0.25">
      <c r="A50" s="21" t="s">
        <v>497</v>
      </c>
      <c r="B50" s="22" t="s">
        <v>498</v>
      </c>
      <c r="C50" s="11">
        <v>3.95</v>
      </c>
      <c r="D50" s="5">
        <v>7.9</v>
      </c>
    </row>
    <row r="51" spans="1:4" x14ac:dyDescent="0.25">
      <c r="A51" s="21" t="s">
        <v>499</v>
      </c>
      <c r="B51" s="22" t="s">
        <v>500</v>
      </c>
      <c r="C51" s="11">
        <v>3.3000000000000003</v>
      </c>
      <c r="D51" s="5">
        <v>6.6000000000000005</v>
      </c>
    </row>
    <row r="52" spans="1:4" x14ac:dyDescent="0.25">
      <c r="A52" s="21" t="s">
        <v>501</v>
      </c>
      <c r="B52" s="22" t="s">
        <v>502</v>
      </c>
      <c r="C52" s="11">
        <v>1.25</v>
      </c>
      <c r="D52" s="5">
        <v>2.5</v>
      </c>
    </row>
    <row r="53" spans="1:4" x14ac:dyDescent="0.25">
      <c r="A53" s="21" t="s">
        <v>503</v>
      </c>
      <c r="B53" s="22" t="s">
        <v>460</v>
      </c>
      <c r="C53" s="11">
        <v>3.75</v>
      </c>
      <c r="D53" s="5">
        <v>7.5</v>
      </c>
    </row>
    <row r="54" spans="1:4" x14ac:dyDescent="0.25">
      <c r="A54" s="21" t="s">
        <v>504</v>
      </c>
      <c r="B54" s="22" t="s">
        <v>505</v>
      </c>
      <c r="C54" s="11">
        <v>3.75</v>
      </c>
      <c r="D54" s="5">
        <v>7.5</v>
      </c>
    </row>
    <row r="55" spans="1:4" x14ac:dyDescent="0.25">
      <c r="A55" s="21" t="s">
        <v>506</v>
      </c>
      <c r="B55" s="22" t="s">
        <v>507</v>
      </c>
      <c r="C55" s="11">
        <v>0.75</v>
      </c>
      <c r="D55" s="5">
        <v>1.5</v>
      </c>
    </row>
    <row r="56" spans="1:4" x14ac:dyDescent="0.25">
      <c r="A56" s="21" t="s">
        <v>508</v>
      </c>
      <c r="B56" s="22" t="s">
        <v>460</v>
      </c>
      <c r="C56" s="11">
        <v>3.75</v>
      </c>
      <c r="D56" s="5">
        <v>7.5</v>
      </c>
    </row>
    <row r="57" spans="1:4" x14ac:dyDescent="0.25">
      <c r="A57" s="21" t="s">
        <v>509</v>
      </c>
      <c r="B57" s="22" t="s">
        <v>460</v>
      </c>
      <c r="C57" s="11">
        <v>3.75</v>
      </c>
      <c r="D57" s="5">
        <v>7.5</v>
      </c>
    </row>
    <row r="58" spans="1:4" x14ac:dyDescent="0.25">
      <c r="A58" s="21" t="s">
        <v>510</v>
      </c>
      <c r="B58" s="22" t="s">
        <v>460</v>
      </c>
      <c r="C58" s="11">
        <v>3.75</v>
      </c>
      <c r="D58" s="5">
        <v>7.5</v>
      </c>
    </row>
    <row r="59" spans="1:4" x14ac:dyDescent="0.25">
      <c r="A59" s="21" t="s">
        <v>511</v>
      </c>
      <c r="B59" s="22" t="s">
        <v>512</v>
      </c>
      <c r="C59" s="11">
        <v>3.3000000000000003</v>
      </c>
      <c r="D59" s="5">
        <v>6.6000000000000005</v>
      </c>
    </row>
    <row r="60" spans="1:4" x14ac:dyDescent="0.25">
      <c r="A60" s="21" t="s">
        <v>513</v>
      </c>
      <c r="B60" s="22" t="s">
        <v>514</v>
      </c>
      <c r="C60" s="11">
        <v>19.5</v>
      </c>
      <c r="D60" s="5">
        <v>39</v>
      </c>
    </row>
    <row r="61" spans="1:4" x14ac:dyDescent="0.25">
      <c r="A61" s="21" t="s">
        <v>515</v>
      </c>
      <c r="B61" s="22" t="s">
        <v>516</v>
      </c>
      <c r="C61" s="11">
        <v>0.65</v>
      </c>
      <c r="D61" s="5">
        <v>1.3</v>
      </c>
    </row>
    <row r="62" spans="1:4" x14ac:dyDescent="0.25">
      <c r="A62" s="21" t="s">
        <v>517</v>
      </c>
      <c r="B62" s="22" t="s">
        <v>460</v>
      </c>
      <c r="C62" s="11">
        <v>4.1000000000000005</v>
      </c>
      <c r="D62" s="5">
        <v>8.2000000000000011</v>
      </c>
    </row>
    <row r="63" spans="1:4" x14ac:dyDescent="0.25">
      <c r="A63" s="21" t="s">
        <v>518</v>
      </c>
      <c r="B63" s="22" t="s">
        <v>519</v>
      </c>
      <c r="C63" s="11">
        <v>0.55000000000000004</v>
      </c>
      <c r="D63" s="5">
        <v>1.1000000000000001</v>
      </c>
    </row>
    <row r="64" spans="1:4" x14ac:dyDescent="0.25">
      <c r="A64" s="21" t="s">
        <v>520</v>
      </c>
      <c r="B64" s="22" t="s">
        <v>521</v>
      </c>
      <c r="C64" s="11">
        <v>112.2</v>
      </c>
      <c r="D64" s="5">
        <v>224.4</v>
      </c>
    </row>
    <row r="65" spans="1:4" x14ac:dyDescent="0.25">
      <c r="A65" s="21" t="s">
        <v>522</v>
      </c>
      <c r="B65" s="22" t="s">
        <v>460</v>
      </c>
      <c r="C65" s="11">
        <v>3.75</v>
      </c>
      <c r="D65" s="5">
        <v>7.5</v>
      </c>
    </row>
    <row r="66" spans="1:4" x14ac:dyDescent="0.25">
      <c r="A66" s="21" t="s">
        <v>523</v>
      </c>
      <c r="B66" s="22" t="s">
        <v>524</v>
      </c>
      <c r="C66" s="11">
        <v>4.05</v>
      </c>
      <c r="D66" s="5">
        <v>8.1</v>
      </c>
    </row>
    <row r="67" spans="1:4" x14ac:dyDescent="0.25">
      <c r="A67" s="21" t="s">
        <v>525</v>
      </c>
      <c r="B67" s="22" t="s">
        <v>526</v>
      </c>
      <c r="C67" s="11">
        <v>119.85000000000001</v>
      </c>
      <c r="D67" s="5">
        <v>239.70000000000002</v>
      </c>
    </row>
    <row r="68" spans="1:4" x14ac:dyDescent="0.25">
      <c r="A68" s="21" t="s">
        <v>527</v>
      </c>
      <c r="B68" s="22" t="s">
        <v>528</v>
      </c>
      <c r="C68" s="11">
        <v>81</v>
      </c>
      <c r="D68" s="5">
        <v>162</v>
      </c>
    </row>
    <row r="69" spans="1:4" x14ac:dyDescent="0.25">
      <c r="A69" s="21" t="s">
        <v>529</v>
      </c>
      <c r="B69" s="22" t="s">
        <v>530</v>
      </c>
      <c r="C69" s="11">
        <v>6.8500000000000005</v>
      </c>
      <c r="D69" s="5">
        <v>13.700000000000001</v>
      </c>
    </row>
    <row r="70" spans="1:4" x14ac:dyDescent="0.25">
      <c r="A70" s="21" t="s">
        <v>531</v>
      </c>
      <c r="B70" s="22" t="s">
        <v>532</v>
      </c>
      <c r="C70" s="11">
        <v>6.8500000000000005</v>
      </c>
      <c r="D70" s="5">
        <v>13.700000000000001</v>
      </c>
    </row>
    <row r="71" spans="1:4" x14ac:dyDescent="0.25">
      <c r="A71" s="21" t="s">
        <v>533</v>
      </c>
      <c r="B71" s="22" t="s">
        <v>534</v>
      </c>
      <c r="C71" s="11">
        <v>4.1000000000000005</v>
      </c>
      <c r="D71" s="5">
        <v>8.2000000000000011</v>
      </c>
    </row>
    <row r="72" spans="1:4" x14ac:dyDescent="0.25">
      <c r="A72" s="21" t="s">
        <v>535</v>
      </c>
      <c r="B72" s="22" t="s">
        <v>468</v>
      </c>
      <c r="C72" s="11">
        <v>3.7</v>
      </c>
      <c r="D72" s="5">
        <v>7.4</v>
      </c>
    </row>
    <row r="73" spans="1:4" x14ac:dyDescent="0.25">
      <c r="A73" s="21" t="s">
        <v>536</v>
      </c>
      <c r="B73" s="22" t="s">
        <v>470</v>
      </c>
      <c r="C73" s="11">
        <v>9.15</v>
      </c>
      <c r="D73" s="5">
        <v>18.3</v>
      </c>
    </row>
    <row r="74" spans="1:4" x14ac:dyDescent="0.25">
      <c r="A74" s="21" t="s">
        <v>537</v>
      </c>
      <c r="B74" s="22" t="s">
        <v>460</v>
      </c>
      <c r="C74" s="11">
        <v>3.95</v>
      </c>
      <c r="D74" s="5">
        <v>7.9</v>
      </c>
    </row>
    <row r="75" spans="1:4" x14ac:dyDescent="0.25">
      <c r="A75" s="21" t="s">
        <v>538</v>
      </c>
      <c r="B75" s="22" t="s">
        <v>539</v>
      </c>
      <c r="C75" s="11">
        <v>8.5500000000000007</v>
      </c>
      <c r="D75" s="5">
        <v>17.100000000000001</v>
      </c>
    </row>
    <row r="76" spans="1:4" x14ac:dyDescent="0.25">
      <c r="A76" s="21" t="s">
        <v>540</v>
      </c>
      <c r="B76" s="22" t="s">
        <v>541</v>
      </c>
      <c r="C76" s="11">
        <v>3.95</v>
      </c>
      <c r="D76" s="5">
        <v>7.9</v>
      </c>
    </row>
    <row r="77" spans="1:4" x14ac:dyDescent="0.25">
      <c r="A77" s="21" t="s">
        <v>542</v>
      </c>
      <c r="B77" s="22" t="s">
        <v>460</v>
      </c>
      <c r="C77" s="11">
        <v>3.95</v>
      </c>
      <c r="D77" s="5">
        <v>7.9</v>
      </c>
    </row>
    <row r="78" spans="1:4" x14ac:dyDescent="0.25">
      <c r="A78" s="21" t="s">
        <v>543</v>
      </c>
      <c r="B78" s="22" t="s">
        <v>544</v>
      </c>
      <c r="C78" s="11">
        <v>5.7</v>
      </c>
      <c r="D78" s="5">
        <v>11.4</v>
      </c>
    </row>
    <row r="79" spans="1:4" x14ac:dyDescent="0.25">
      <c r="A79" s="21" t="s">
        <v>545</v>
      </c>
      <c r="B79" s="22" t="s">
        <v>546</v>
      </c>
      <c r="C79" s="11">
        <v>3.95</v>
      </c>
      <c r="D79" s="5">
        <v>7.9</v>
      </c>
    </row>
    <row r="80" spans="1:4" x14ac:dyDescent="0.25">
      <c r="A80" s="21" t="s">
        <v>547</v>
      </c>
      <c r="B80" s="22" t="s">
        <v>548</v>
      </c>
      <c r="C80" s="11">
        <v>3.95</v>
      </c>
      <c r="D80" s="5">
        <v>7.9</v>
      </c>
    </row>
    <row r="81" spans="1:4" x14ac:dyDescent="0.25">
      <c r="A81" s="21" t="s">
        <v>549</v>
      </c>
      <c r="B81" s="22" t="s">
        <v>550</v>
      </c>
      <c r="C81" s="11">
        <v>0.70000000000000007</v>
      </c>
      <c r="D81" s="5">
        <v>1.4000000000000001</v>
      </c>
    </row>
    <row r="82" spans="1:4" x14ac:dyDescent="0.25">
      <c r="A82" s="21" t="s">
        <v>551</v>
      </c>
      <c r="B82" s="22" t="s">
        <v>552</v>
      </c>
      <c r="C82" s="11">
        <v>0.70000000000000007</v>
      </c>
      <c r="D82" s="5">
        <v>1.4000000000000001</v>
      </c>
    </row>
    <row r="83" spans="1:4" x14ac:dyDescent="0.25">
      <c r="A83" s="21" t="s">
        <v>553</v>
      </c>
      <c r="B83" s="22" t="s">
        <v>554</v>
      </c>
      <c r="C83" s="11">
        <v>3.95</v>
      </c>
      <c r="D83" s="5">
        <v>7.9</v>
      </c>
    </row>
    <row r="84" spans="1:4" x14ac:dyDescent="0.25">
      <c r="A84" s="21" t="s">
        <v>555</v>
      </c>
      <c r="B84" s="22" t="s">
        <v>556</v>
      </c>
      <c r="C84" s="11">
        <v>0.60000000000000009</v>
      </c>
      <c r="D84" s="5">
        <v>1.2000000000000002</v>
      </c>
    </row>
    <row r="85" spans="1:4" x14ac:dyDescent="0.25">
      <c r="A85" s="21" t="s">
        <v>557</v>
      </c>
      <c r="B85" s="22" t="s">
        <v>468</v>
      </c>
      <c r="C85" s="11">
        <v>9.8500000000000014</v>
      </c>
      <c r="D85" s="5">
        <v>19.700000000000003</v>
      </c>
    </row>
    <row r="86" spans="1:4" x14ac:dyDescent="0.25">
      <c r="A86" s="21" t="s">
        <v>558</v>
      </c>
      <c r="B86" s="22" t="s">
        <v>559</v>
      </c>
      <c r="C86" s="11">
        <v>0.60000000000000009</v>
      </c>
      <c r="D86" s="5">
        <v>1.2000000000000002</v>
      </c>
    </row>
    <row r="87" spans="1:4" x14ac:dyDescent="0.25">
      <c r="A87" s="21" t="s">
        <v>560</v>
      </c>
      <c r="B87" s="22" t="s">
        <v>561</v>
      </c>
      <c r="C87" s="11">
        <v>2.25</v>
      </c>
      <c r="D87" s="5">
        <v>4.5</v>
      </c>
    </row>
    <row r="88" spans="1:4" x14ac:dyDescent="0.25">
      <c r="A88" s="21" t="s">
        <v>562</v>
      </c>
      <c r="B88" s="22" t="s">
        <v>563</v>
      </c>
      <c r="C88" s="11">
        <v>16</v>
      </c>
      <c r="D88" s="5">
        <v>32</v>
      </c>
    </row>
    <row r="89" spans="1:4" x14ac:dyDescent="0.25">
      <c r="A89" s="21" t="s">
        <v>564</v>
      </c>
      <c r="B89" s="22" t="s">
        <v>460</v>
      </c>
      <c r="C89" s="11">
        <v>3.95</v>
      </c>
      <c r="D89" s="5">
        <v>7.9</v>
      </c>
    </row>
    <row r="90" spans="1:4" x14ac:dyDescent="0.25">
      <c r="A90" s="21" t="s">
        <v>565</v>
      </c>
      <c r="B90" s="22" t="s">
        <v>460</v>
      </c>
      <c r="C90" s="11">
        <v>3.75</v>
      </c>
      <c r="D90" s="5">
        <v>7.5</v>
      </c>
    </row>
    <row r="91" spans="1:4" x14ac:dyDescent="0.25">
      <c r="A91" s="21" t="s">
        <v>566</v>
      </c>
      <c r="B91" s="22" t="s">
        <v>476</v>
      </c>
      <c r="C91" s="11">
        <v>6.9</v>
      </c>
      <c r="D91" s="5">
        <v>13.8</v>
      </c>
    </row>
    <row r="92" spans="1:4" x14ac:dyDescent="0.25">
      <c r="A92" s="21" t="s">
        <v>567</v>
      </c>
      <c r="B92" s="22" t="s">
        <v>460</v>
      </c>
      <c r="C92" s="11">
        <v>3.75</v>
      </c>
      <c r="D92" s="5">
        <v>7.5</v>
      </c>
    </row>
    <row r="93" spans="1:4" x14ac:dyDescent="0.25">
      <c r="A93" s="21" t="s">
        <v>568</v>
      </c>
      <c r="B93" s="22" t="s">
        <v>453</v>
      </c>
      <c r="C93" s="11">
        <v>8.25</v>
      </c>
      <c r="D93" s="5">
        <v>16.5</v>
      </c>
    </row>
    <row r="94" spans="1:4" x14ac:dyDescent="0.25">
      <c r="A94" s="21" t="s">
        <v>569</v>
      </c>
      <c r="B94" s="22" t="s">
        <v>476</v>
      </c>
      <c r="C94" s="11">
        <v>29.900000000000002</v>
      </c>
      <c r="D94" s="5">
        <v>59.800000000000004</v>
      </c>
    </row>
    <row r="95" spans="1:4" x14ac:dyDescent="0.25">
      <c r="A95" s="21" t="s">
        <v>570</v>
      </c>
      <c r="B95" s="22" t="s">
        <v>571</v>
      </c>
      <c r="C95" s="11">
        <v>56.150000000000006</v>
      </c>
      <c r="D95" s="5">
        <v>112.30000000000001</v>
      </c>
    </row>
    <row r="96" spans="1:4" x14ac:dyDescent="0.25">
      <c r="A96" s="21" t="s">
        <v>572</v>
      </c>
      <c r="B96" s="22" t="s">
        <v>573</v>
      </c>
      <c r="C96" s="11">
        <v>24.1</v>
      </c>
      <c r="D96" s="5">
        <v>48.2</v>
      </c>
    </row>
    <row r="97" spans="1:4" x14ac:dyDescent="0.25">
      <c r="A97" s="21" t="s">
        <v>574</v>
      </c>
      <c r="B97" s="22" t="s">
        <v>575</v>
      </c>
      <c r="C97" s="11">
        <v>24.1</v>
      </c>
      <c r="D97" s="5">
        <v>48.2</v>
      </c>
    </row>
    <row r="98" spans="1:4" x14ac:dyDescent="0.25">
      <c r="A98" s="21" t="s">
        <v>576</v>
      </c>
      <c r="B98" s="22" t="s">
        <v>577</v>
      </c>
      <c r="C98" s="11">
        <v>4.2</v>
      </c>
      <c r="D98" s="5">
        <v>8.4</v>
      </c>
    </row>
    <row r="99" spans="1:4" x14ac:dyDescent="0.25">
      <c r="A99" s="21" t="s">
        <v>578</v>
      </c>
      <c r="B99" s="22" t="s">
        <v>579</v>
      </c>
      <c r="C99" s="11">
        <v>7.3000000000000007</v>
      </c>
      <c r="D99" s="5">
        <v>14.600000000000001</v>
      </c>
    </row>
    <row r="100" spans="1:4" x14ac:dyDescent="0.25">
      <c r="A100" s="21" t="s">
        <v>580</v>
      </c>
      <c r="B100" s="22" t="s">
        <v>581</v>
      </c>
      <c r="C100" s="11">
        <v>7.3000000000000007</v>
      </c>
      <c r="D100" s="5">
        <v>14.600000000000001</v>
      </c>
    </row>
    <row r="101" spans="1:4" x14ac:dyDescent="0.25">
      <c r="A101" s="21" t="s">
        <v>582</v>
      </c>
      <c r="B101" s="22" t="s">
        <v>583</v>
      </c>
      <c r="C101" s="11">
        <v>7.3000000000000007</v>
      </c>
      <c r="D101" s="5">
        <v>14.600000000000001</v>
      </c>
    </row>
    <row r="102" spans="1:4" x14ac:dyDescent="0.25">
      <c r="A102" s="21" t="s">
        <v>584</v>
      </c>
      <c r="B102" s="22" t="s">
        <v>585</v>
      </c>
      <c r="C102" s="11">
        <v>7.3000000000000007</v>
      </c>
      <c r="D102" s="5">
        <v>14.600000000000001</v>
      </c>
    </row>
    <row r="103" spans="1:4" x14ac:dyDescent="0.25">
      <c r="A103" s="21" t="s">
        <v>586</v>
      </c>
      <c r="B103" s="22" t="s">
        <v>587</v>
      </c>
      <c r="C103" s="11">
        <v>65.05</v>
      </c>
      <c r="D103" s="5">
        <v>130.1</v>
      </c>
    </row>
    <row r="104" spans="1:4" x14ac:dyDescent="0.25">
      <c r="A104" s="21" t="s">
        <v>588</v>
      </c>
      <c r="B104" s="22" t="s">
        <v>589</v>
      </c>
      <c r="C104" s="11">
        <v>81.300000000000011</v>
      </c>
      <c r="D104" s="5">
        <v>162.60000000000002</v>
      </c>
    </row>
    <row r="105" spans="1:4" x14ac:dyDescent="0.25">
      <c r="A105" s="21" t="s">
        <v>590</v>
      </c>
      <c r="B105" s="22" t="s">
        <v>476</v>
      </c>
      <c r="C105" s="11">
        <v>32.65</v>
      </c>
      <c r="D105" s="5">
        <v>65.3</v>
      </c>
    </row>
    <row r="106" spans="1:4" x14ac:dyDescent="0.25">
      <c r="A106" s="21" t="s">
        <v>591</v>
      </c>
      <c r="B106" s="22" t="s">
        <v>571</v>
      </c>
      <c r="C106" s="11">
        <v>68.600000000000009</v>
      </c>
      <c r="D106" s="5">
        <v>137.20000000000002</v>
      </c>
    </row>
    <row r="107" spans="1:4" x14ac:dyDescent="0.25">
      <c r="A107" s="21" t="s">
        <v>592</v>
      </c>
      <c r="B107" s="22" t="s">
        <v>460</v>
      </c>
      <c r="C107" s="11">
        <v>3.75</v>
      </c>
      <c r="D107" s="5">
        <v>7.5</v>
      </c>
    </row>
    <row r="108" spans="1:4" x14ac:dyDescent="0.25">
      <c r="A108" s="21" t="s">
        <v>593</v>
      </c>
      <c r="B108" s="22" t="s">
        <v>476</v>
      </c>
      <c r="C108" s="11">
        <v>24.950000000000003</v>
      </c>
      <c r="D108" s="5">
        <v>49.900000000000006</v>
      </c>
    </row>
    <row r="109" spans="1:4" x14ac:dyDescent="0.25">
      <c r="A109" s="21">
        <v>383257</v>
      </c>
      <c r="B109" s="22" t="s">
        <v>460</v>
      </c>
      <c r="C109" s="11">
        <v>3.75</v>
      </c>
      <c r="D109" s="5">
        <v>7.5</v>
      </c>
    </row>
    <row r="110" spans="1:4" x14ac:dyDescent="0.25">
      <c r="A110" s="21" t="s">
        <v>594</v>
      </c>
      <c r="B110" s="22" t="s">
        <v>595</v>
      </c>
      <c r="C110" s="11">
        <v>3.75</v>
      </c>
      <c r="D110" s="5">
        <v>7.5</v>
      </c>
    </row>
    <row r="111" spans="1:4" x14ac:dyDescent="0.25">
      <c r="A111" s="21" t="s">
        <v>596</v>
      </c>
      <c r="B111" s="22" t="s">
        <v>460</v>
      </c>
      <c r="C111" s="11">
        <v>3.75</v>
      </c>
      <c r="D111" s="5">
        <v>7.5</v>
      </c>
    </row>
    <row r="112" spans="1:4" x14ac:dyDescent="0.25">
      <c r="A112" s="21" t="s">
        <v>597</v>
      </c>
      <c r="B112" s="22" t="s">
        <v>598</v>
      </c>
      <c r="C112" s="11">
        <v>69.2</v>
      </c>
      <c r="D112" s="5">
        <v>138.4</v>
      </c>
    </row>
    <row r="113" spans="1:4" x14ac:dyDescent="0.25">
      <c r="A113" s="21" t="s">
        <v>599</v>
      </c>
      <c r="B113" s="22" t="s">
        <v>460</v>
      </c>
      <c r="C113" s="11">
        <v>3.75</v>
      </c>
      <c r="D113" s="5">
        <v>7.5</v>
      </c>
    </row>
    <row r="114" spans="1:4" x14ac:dyDescent="0.25">
      <c r="A114" s="21" t="s">
        <v>600</v>
      </c>
      <c r="B114" s="22" t="s">
        <v>601</v>
      </c>
      <c r="C114" s="11">
        <v>52</v>
      </c>
      <c r="D114" s="5">
        <v>104</v>
      </c>
    </row>
    <row r="115" spans="1:4" x14ac:dyDescent="0.25">
      <c r="A115" s="21" t="s">
        <v>602</v>
      </c>
      <c r="B115" s="22" t="s">
        <v>603</v>
      </c>
      <c r="C115" s="11">
        <v>97.550000000000011</v>
      </c>
      <c r="D115" s="5">
        <v>195.10000000000002</v>
      </c>
    </row>
    <row r="116" spans="1:4" x14ac:dyDescent="0.25">
      <c r="A116" s="21" t="s">
        <v>604</v>
      </c>
      <c r="B116" s="22" t="s">
        <v>460</v>
      </c>
      <c r="C116" s="11">
        <v>3.75</v>
      </c>
      <c r="D116" s="5">
        <v>7.5</v>
      </c>
    </row>
    <row r="117" spans="1:4" x14ac:dyDescent="0.25">
      <c r="A117" s="21" t="s">
        <v>605</v>
      </c>
      <c r="B117" s="22" t="s">
        <v>606</v>
      </c>
      <c r="C117" s="11">
        <v>3.1500000000000004</v>
      </c>
      <c r="D117" s="5">
        <v>6.3000000000000007</v>
      </c>
    </row>
    <row r="118" spans="1:4" x14ac:dyDescent="0.25">
      <c r="A118" s="21" t="s">
        <v>607</v>
      </c>
      <c r="B118" s="22" t="s">
        <v>608</v>
      </c>
      <c r="C118" s="11">
        <v>10.15</v>
      </c>
      <c r="D118" s="5">
        <v>20.3</v>
      </c>
    </row>
    <row r="119" spans="1:4" x14ac:dyDescent="0.25">
      <c r="A119" s="21" t="s">
        <v>609</v>
      </c>
      <c r="B119" s="22" t="s">
        <v>610</v>
      </c>
      <c r="C119" s="11">
        <v>52</v>
      </c>
      <c r="D119" s="5">
        <v>104</v>
      </c>
    </row>
    <row r="120" spans="1:4" x14ac:dyDescent="0.25">
      <c r="A120" s="21" t="s">
        <v>611</v>
      </c>
      <c r="B120" s="22" t="s">
        <v>610</v>
      </c>
      <c r="C120" s="11">
        <v>90.350000000000009</v>
      </c>
      <c r="D120" s="5">
        <v>180.70000000000002</v>
      </c>
    </row>
    <row r="121" spans="1:4" x14ac:dyDescent="0.25">
      <c r="A121" s="21" t="s">
        <v>192</v>
      </c>
      <c r="B121" s="22" t="s">
        <v>612</v>
      </c>
      <c r="C121" s="11">
        <v>32.550000000000004</v>
      </c>
      <c r="D121" s="5">
        <v>65.100000000000009</v>
      </c>
    </row>
    <row r="122" spans="1:4" x14ac:dyDescent="0.25">
      <c r="A122" s="21" t="s">
        <v>613</v>
      </c>
      <c r="B122" s="22" t="s">
        <v>614</v>
      </c>
      <c r="C122" s="11">
        <v>2.85</v>
      </c>
      <c r="D122" s="5">
        <v>5.7</v>
      </c>
    </row>
    <row r="123" spans="1:4" x14ac:dyDescent="0.25">
      <c r="A123" s="21" t="s">
        <v>615</v>
      </c>
      <c r="B123" s="22" t="s">
        <v>616</v>
      </c>
      <c r="C123" s="11">
        <v>5</v>
      </c>
      <c r="D123" s="5">
        <v>10</v>
      </c>
    </row>
    <row r="124" spans="1:4" x14ac:dyDescent="0.25">
      <c r="A124" s="21" t="s">
        <v>617</v>
      </c>
      <c r="B124" s="22" t="s">
        <v>516</v>
      </c>
      <c r="C124" s="11">
        <v>0.55000000000000004</v>
      </c>
      <c r="D124" s="5">
        <v>1.1000000000000001</v>
      </c>
    </row>
    <row r="125" spans="1:4" x14ac:dyDescent="0.25">
      <c r="A125" s="21" t="s">
        <v>618</v>
      </c>
      <c r="B125" s="22" t="s">
        <v>616</v>
      </c>
      <c r="C125" s="11">
        <v>16.900000000000002</v>
      </c>
      <c r="D125" s="5">
        <v>33.800000000000004</v>
      </c>
    </row>
    <row r="126" spans="1:4" x14ac:dyDescent="0.25">
      <c r="A126" s="21" t="s">
        <v>619</v>
      </c>
      <c r="B126" s="22" t="s">
        <v>620</v>
      </c>
      <c r="C126" s="11">
        <v>2.9000000000000004</v>
      </c>
      <c r="D126" s="5">
        <v>5.8000000000000007</v>
      </c>
    </row>
    <row r="127" spans="1:4" x14ac:dyDescent="0.25">
      <c r="A127" s="21" t="s">
        <v>621</v>
      </c>
      <c r="B127" s="22" t="s">
        <v>460</v>
      </c>
      <c r="C127" s="11">
        <v>3.75</v>
      </c>
      <c r="D127" s="5">
        <v>7.5</v>
      </c>
    </row>
    <row r="128" spans="1:4" x14ac:dyDescent="0.25">
      <c r="A128" s="21" t="s">
        <v>622</v>
      </c>
      <c r="B128" s="22" t="s">
        <v>474</v>
      </c>
      <c r="C128" s="11">
        <v>1.1500000000000001</v>
      </c>
      <c r="D128" s="5">
        <v>2.3000000000000003</v>
      </c>
    </row>
    <row r="129" spans="1:4" x14ac:dyDescent="0.25">
      <c r="A129" s="21" t="s">
        <v>623</v>
      </c>
      <c r="B129" s="22" t="s">
        <v>460</v>
      </c>
      <c r="C129" s="11">
        <v>2.25</v>
      </c>
      <c r="D129" s="5">
        <v>4.5</v>
      </c>
    </row>
    <row r="130" spans="1:4" x14ac:dyDescent="0.25">
      <c r="A130" s="21" t="s">
        <v>624</v>
      </c>
      <c r="B130" s="22" t="s">
        <v>603</v>
      </c>
      <c r="C130" s="11">
        <v>74.850000000000009</v>
      </c>
      <c r="D130" s="5">
        <v>149.70000000000002</v>
      </c>
    </row>
    <row r="131" spans="1:4" x14ac:dyDescent="0.25">
      <c r="A131" s="21" t="s">
        <v>625</v>
      </c>
      <c r="B131" s="22" t="s">
        <v>626</v>
      </c>
      <c r="C131" s="11">
        <v>8.4500000000000011</v>
      </c>
      <c r="D131" s="5">
        <v>16.900000000000002</v>
      </c>
    </row>
    <row r="132" spans="1:4" x14ac:dyDescent="0.25">
      <c r="A132" s="21" t="s">
        <v>627</v>
      </c>
      <c r="B132" s="22" t="s">
        <v>628</v>
      </c>
      <c r="C132" s="11">
        <v>3.75</v>
      </c>
      <c r="D132" s="5">
        <v>7.5</v>
      </c>
    </row>
    <row r="133" spans="1:4" x14ac:dyDescent="0.25">
      <c r="A133" s="21" t="s">
        <v>629</v>
      </c>
      <c r="B133" s="22" t="s">
        <v>476</v>
      </c>
      <c r="C133" s="11">
        <v>6.5500000000000007</v>
      </c>
      <c r="D133" s="5">
        <v>13.100000000000001</v>
      </c>
    </row>
    <row r="134" spans="1:4" x14ac:dyDescent="0.25">
      <c r="A134" s="21" t="s">
        <v>630</v>
      </c>
      <c r="B134" s="22" t="s">
        <v>460</v>
      </c>
      <c r="C134" s="11">
        <v>3.75</v>
      </c>
      <c r="D134" s="5">
        <v>7.5</v>
      </c>
    </row>
    <row r="135" spans="1:4" x14ac:dyDescent="0.25">
      <c r="A135" s="21" t="s">
        <v>631</v>
      </c>
      <c r="B135" s="22" t="s">
        <v>571</v>
      </c>
      <c r="C135" s="11">
        <v>52.400000000000006</v>
      </c>
      <c r="D135" s="5">
        <v>104.80000000000001</v>
      </c>
    </row>
    <row r="136" spans="1:4" x14ac:dyDescent="0.25">
      <c r="A136" s="21" t="s">
        <v>632</v>
      </c>
      <c r="B136" s="22" t="s">
        <v>460</v>
      </c>
      <c r="C136" s="11">
        <v>3.75</v>
      </c>
      <c r="D136" s="5">
        <v>7.5</v>
      </c>
    </row>
    <row r="137" spans="1:4" x14ac:dyDescent="0.25">
      <c r="A137" s="21" t="s">
        <v>633</v>
      </c>
      <c r="B137" s="22" t="s">
        <v>634</v>
      </c>
      <c r="C137" s="11">
        <v>32.550000000000004</v>
      </c>
      <c r="D137" s="5">
        <v>65.100000000000009</v>
      </c>
    </row>
    <row r="138" spans="1:4" x14ac:dyDescent="0.25">
      <c r="A138" s="21" t="s">
        <v>635</v>
      </c>
      <c r="B138" s="22" t="s">
        <v>636</v>
      </c>
      <c r="C138" s="11">
        <v>65.05</v>
      </c>
      <c r="D138" s="5">
        <v>130.1</v>
      </c>
    </row>
    <row r="139" spans="1:4" x14ac:dyDescent="0.25">
      <c r="A139" s="21" t="s">
        <v>637</v>
      </c>
      <c r="B139" s="22" t="s">
        <v>571</v>
      </c>
      <c r="C139" s="11">
        <v>89.75</v>
      </c>
      <c r="D139" s="5">
        <v>179.5</v>
      </c>
    </row>
    <row r="140" spans="1:4" x14ac:dyDescent="0.25">
      <c r="A140" s="21" t="s">
        <v>638</v>
      </c>
      <c r="B140" s="22" t="s">
        <v>639</v>
      </c>
      <c r="C140" s="11">
        <v>26.700000000000003</v>
      </c>
      <c r="D140" s="5">
        <v>53.400000000000006</v>
      </c>
    </row>
    <row r="141" spans="1:4" x14ac:dyDescent="0.25">
      <c r="A141" s="21" t="s">
        <v>640</v>
      </c>
      <c r="B141" s="22" t="s">
        <v>641</v>
      </c>
      <c r="C141" s="11">
        <v>26.700000000000003</v>
      </c>
      <c r="D141" s="5">
        <v>53.400000000000006</v>
      </c>
    </row>
    <row r="142" spans="1:4" x14ac:dyDescent="0.25">
      <c r="A142" s="21" t="s">
        <v>642</v>
      </c>
      <c r="B142" s="22" t="s">
        <v>577</v>
      </c>
      <c r="C142" s="11">
        <v>4.2</v>
      </c>
      <c r="D142" s="5">
        <v>8.4</v>
      </c>
    </row>
    <row r="143" spans="1:4" x14ac:dyDescent="0.25">
      <c r="A143" s="21" t="s">
        <v>643</v>
      </c>
      <c r="B143" s="22" t="s">
        <v>644</v>
      </c>
      <c r="C143" s="11">
        <v>7.3000000000000007</v>
      </c>
      <c r="D143" s="5">
        <v>14.600000000000001</v>
      </c>
    </row>
    <row r="144" spans="1:4" x14ac:dyDescent="0.25">
      <c r="A144" s="21" t="s">
        <v>645</v>
      </c>
      <c r="B144" s="22" t="s">
        <v>581</v>
      </c>
      <c r="C144" s="11">
        <v>7.3000000000000007</v>
      </c>
      <c r="D144" s="5">
        <v>14.600000000000001</v>
      </c>
    </row>
    <row r="145" spans="1:4" x14ac:dyDescent="0.25">
      <c r="A145" s="21" t="s">
        <v>646</v>
      </c>
      <c r="B145" s="22" t="s">
        <v>647</v>
      </c>
      <c r="C145" s="11">
        <v>7.3000000000000007</v>
      </c>
      <c r="D145" s="5">
        <v>14.600000000000001</v>
      </c>
    </row>
    <row r="146" spans="1:4" x14ac:dyDescent="0.25">
      <c r="A146" s="21" t="s">
        <v>648</v>
      </c>
      <c r="B146" s="22" t="s">
        <v>649</v>
      </c>
      <c r="C146" s="11">
        <v>7.3000000000000007</v>
      </c>
      <c r="D146" s="5">
        <v>14.600000000000001</v>
      </c>
    </row>
    <row r="147" spans="1:4" x14ac:dyDescent="0.25">
      <c r="A147" s="21" t="s">
        <v>650</v>
      </c>
      <c r="B147" s="22" t="s">
        <v>651</v>
      </c>
      <c r="C147" s="11">
        <v>3.6</v>
      </c>
      <c r="D147" s="5">
        <v>7.2</v>
      </c>
    </row>
    <row r="148" spans="1:4" x14ac:dyDescent="0.25">
      <c r="A148" s="21" t="s">
        <v>652</v>
      </c>
      <c r="B148" s="22" t="s">
        <v>587</v>
      </c>
      <c r="C148" s="11">
        <v>74.850000000000009</v>
      </c>
      <c r="D148" s="5">
        <v>149.70000000000002</v>
      </c>
    </row>
    <row r="149" spans="1:4" x14ac:dyDescent="0.25">
      <c r="A149" s="21" t="s">
        <v>653</v>
      </c>
      <c r="B149" s="22" t="s">
        <v>654</v>
      </c>
      <c r="C149" s="11">
        <v>87.850000000000009</v>
      </c>
      <c r="D149" s="5">
        <v>175.70000000000002</v>
      </c>
    </row>
    <row r="150" spans="1:4" x14ac:dyDescent="0.25">
      <c r="A150" s="21" t="s">
        <v>655</v>
      </c>
      <c r="B150" s="22" t="s">
        <v>656</v>
      </c>
      <c r="C150" s="11">
        <v>10.75</v>
      </c>
      <c r="D150" s="5">
        <v>21.5</v>
      </c>
    </row>
    <row r="151" spans="1:4" x14ac:dyDescent="0.25">
      <c r="A151" s="21" t="s">
        <v>657</v>
      </c>
      <c r="B151" s="22" t="s">
        <v>658</v>
      </c>
      <c r="C151" s="11">
        <v>22.450000000000003</v>
      </c>
      <c r="D151" s="5">
        <v>44.900000000000006</v>
      </c>
    </row>
    <row r="152" spans="1:4" x14ac:dyDescent="0.25">
      <c r="A152" s="21" t="s">
        <v>659</v>
      </c>
      <c r="B152" s="22" t="s">
        <v>660</v>
      </c>
      <c r="C152" s="11">
        <v>104.7</v>
      </c>
      <c r="D152" s="5">
        <v>209.4</v>
      </c>
    </row>
    <row r="153" spans="1:4" x14ac:dyDescent="0.25">
      <c r="A153" s="21" t="s">
        <v>661</v>
      </c>
      <c r="B153" s="22" t="s">
        <v>662</v>
      </c>
      <c r="C153" s="11">
        <v>104.7</v>
      </c>
      <c r="D153" s="5">
        <v>209.4</v>
      </c>
    </row>
    <row r="154" spans="1:4" x14ac:dyDescent="0.25">
      <c r="A154" s="21" t="s">
        <v>663</v>
      </c>
      <c r="B154" s="22" t="s">
        <v>460</v>
      </c>
      <c r="C154" s="11">
        <v>3.75</v>
      </c>
      <c r="D154" s="5">
        <v>7.5</v>
      </c>
    </row>
    <row r="155" spans="1:4" x14ac:dyDescent="0.25">
      <c r="A155" s="21" t="s">
        <v>664</v>
      </c>
      <c r="B155" s="22" t="s">
        <v>474</v>
      </c>
      <c r="C155" s="11">
        <v>4.1500000000000004</v>
      </c>
      <c r="D155" s="5">
        <v>8.3000000000000007</v>
      </c>
    </row>
    <row r="156" spans="1:4" x14ac:dyDescent="0.25">
      <c r="A156" s="21" t="s">
        <v>665</v>
      </c>
      <c r="B156" s="22" t="s">
        <v>666</v>
      </c>
      <c r="C156" s="11">
        <v>0.1</v>
      </c>
      <c r="D156" s="5">
        <v>0.2</v>
      </c>
    </row>
    <row r="157" spans="1:4" x14ac:dyDescent="0.25">
      <c r="A157" s="21" t="s">
        <v>667</v>
      </c>
      <c r="B157" s="22" t="s">
        <v>668</v>
      </c>
      <c r="C157" s="11">
        <v>1</v>
      </c>
      <c r="D157" s="5">
        <v>2</v>
      </c>
    </row>
    <row r="158" spans="1:4" x14ac:dyDescent="0.25">
      <c r="A158" s="21" t="s">
        <v>669</v>
      </c>
      <c r="B158" s="22" t="s">
        <v>670</v>
      </c>
      <c r="C158" s="11">
        <v>0.15000000000000002</v>
      </c>
      <c r="D158" s="5">
        <v>0.30000000000000004</v>
      </c>
    </row>
    <row r="159" spans="1:4" x14ac:dyDescent="0.25">
      <c r="A159" s="21" t="s">
        <v>671</v>
      </c>
      <c r="B159" s="22" t="s">
        <v>672</v>
      </c>
      <c r="C159" s="11">
        <v>21.700000000000003</v>
      </c>
      <c r="D159" s="5">
        <v>43.400000000000006</v>
      </c>
    </row>
    <row r="160" spans="1:4" x14ac:dyDescent="0.25">
      <c r="A160" s="21" t="s">
        <v>673</v>
      </c>
      <c r="B160" s="22" t="s">
        <v>674</v>
      </c>
      <c r="C160" s="11">
        <v>11.5</v>
      </c>
      <c r="D160" s="5">
        <v>23</v>
      </c>
    </row>
    <row r="161" spans="1:4" x14ac:dyDescent="0.25">
      <c r="A161" s="21" t="s">
        <v>675</v>
      </c>
      <c r="B161" s="22" t="s">
        <v>676</v>
      </c>
      <c r="C161" s="11">
        <v>180.8</v>
      </c>
      <c r="D161" s="5">
        <v>361.6</v>
      </c>
    </row>
    <row r="162" spans="1:4" x14ac:dyDescent="0.25">
      <c r="A162" s="21" t="s">
        <v>677</v>
      </c>
      <c r="B162" s="22" t="s">
        <v>678</v>
      </c>
      <c r="C162" s="11">
        <v>180.8</v>
      </c>
      <c r="D162" s="5">
        <v>361.6</v>
      </c>
    </row>
    <row r="163" spans="1:4" x14ac:dyDescent="0.25">
      <c r="A163" s="21" t="s">
        <v>679</v>
      </c>
      <c r="B163" s="22" t="s">
        <v>680</v>
      </c>
      <c r="C163" s="11">
        <v>2.15</v>
      </c>
      <c r="D163" s="5">
        <v>4.3</v>
      </c>
    </row>
    <row r="164" spans="1:4" x14ac:dyDescent="0.25">
      <c r="A164" s="21" t="s">
        <v>681</v>
      </c>
      <c r="B164" s="22" t="s">
        <v>682</v>
      </c>
      <c r="C164" s="11">
        <v>22.55</v>
      </c>
      <c r="D164" s="5">
        <v>45.1</v>
      </c>
    </row>
    <row r="165" spans="1:4" x14ac:dyDescent="0.25">
      <c r="A165" s="21" t="s">
        <v>683</v>
      </c>
      <c r="B165" s="22" t="s">
        <v>684</v>
      </c>
      <c r="C165" s="11">
        <v>130.9</v>
      </c>
      <c r="D165" s="5">
        <v>261.8</v>
      </c>
    </row>
    <row r="166" spans="1:4" x14ac:dyDescent="0.25">
      <c r="A166" s="21" t="s">
        <v>685</v>
      </c>
      <c r="B166" s="22" t="s">
        <v>686</v>
      </c>
      <c r="C166" s="11">
        <v>130.9</v>
      </c>
      <c r="D166" s="5">
        <v>261.8</v>
      </c>
    </row>
    <row r="167" spans="1:4" x14ac:dyDescent="0.25">
      <c r="A167" s="21" t="s">
        <v>687</v>
      </c>
      <c r="B167" s="22" t="s">
        <v>688</v>
      </c>
      <c r="C167" s="11">
        <v>2.15</v>
      </c>
      <c r="D167" s="5">
        <v>4.3</v>
      </c>
    </row>
    <row r="168" spans="1:4" x14ac:dyDescent="0.25">
      <c r="A168" s="21" t="s">
        <v>689</v>
      </c>
      <c r="B168" s="22" t="s">
        <v>690</v>
      </c>
      <c r="C168" s="11">
        <v>15.3</v>
      </c>
      <c r="D168" s="5">
        <v>30.6</v>
      </c>
    </row>
    <row r="169" spans="1:4" x14ac:dyDescent="0.25">
      <c r="A169" s="21" t="s">
        <v>691</v>
      </c>
      <c r="B169" s="22" t="s">
        <v>692</v>
      </c>
      <c r="C169" s="11">
        <v>101</v>
      </c>
      <c r="D169" s="5">
        <v>202</v>
      </c>
    </row>
    <row r="170" spans="1:4" x14ac:dyDescent="0.25">
      <c r="A170" s="21" t="s">
        <v>693</v>
      </c>
      <c r="B170" s="22" t="s">
        <v>694</v>
      </c>
      <c r="C170" s="11">
        <v>101</v>
      </c>
      <c r="D170" s="5">
        <v>202</v>
      </c>
    </row>
    <row r="171" spans="1:4" x14ac:dyDescent="0.25">
      <c r="A171" s="21" t="s">
        <v>695</v>
      </c>
      <c r="B171" s="22" t="s">
        <v>696</v>
      </c>
      <c r="C171" s="11">
        <v>211.45000000000002</v>
      </c>
      <c r="D171" s="5">
        <v>422.90000000000003</v>
      </c>
    </row>
    <row r="172" spans="1:4" x14ac:dyDescent="0.25">
      <c r="A172" s="21" t="s">
        <v>697</v>
      </c>
      <c r="B172" s="22" t="s">
        <v>698</v>
      </c>
      <c r="C172" s="11">
        <v>0.55000000000000004</v>
      </c>
      <c r="D172" s="5">
        <v>1.1000000000000001</v>
      </c>
    </row>
    <row r="173" spans="1:4" x14ac:dyDescent="0.25">
      <c r="A173" s="21" t="s">
        <v>699</v>
      </c>
      <c r="B173" s="22" t="s">
        <v>692</v>
      </c>
      <c r="C173" s="11">
        <v>101</v>
      </c>
      <c r="D173" s="5">
        <v>202</v>
      </c>
    </row>
    <row r="174" spans="1:4" x14ac:dyDescent="0.25">
      <c r="A174" s="21" t="s">
        <v>700</v>
      </c>
      <c r="B174" s="22" t="s">
        <v>694</v>
      </c>
      <c r="C174" s="11">
        <v>101</v>
      </c>
      <c r="D174" s="5">
        <v>202</v>
      </c>
    </row>
    <row r="175" spans="1:4" x14ac:dyDescent="0.25">
      <c r="A175" s="21" t="s">
        <v>701</v>
      </c>
      <c r="B175" s="22" t="s">
        <v>702</v>
      </c>
      <c r="C175" s="11">
        <v>173.5</v>
      </c>
      <c r="D175" s="5">
        <v>347</v>
      </c>
    </row>
    <row r="176" spans="1:4" x14ac:dyDescent="0.25">
      <c r="A176" s="21" t="s">
        <v>703</v>
      </c>
      <c r="B176" s="22" t="s">
        <v>704</v>
      </c>
      <c r="C176" s="11">
        <v>173.5</v>
      </c>
      <c r="D176" s="5">
        <v>347</v>
      </c>
    </row>
    <row r="177" spans="1:4" x14ac:dyDescent="0.25">
      <c r="A177" s="21" t="s">
        <v>705</v>
      </c>
      <c r="B177" s="22" t="s">
        <v>706</v>
      </c>
      <c r="C177" s="11">
        <v>91.050000000000011</v>
      </c>
      <c r="D177" s="5">
        <v>182.10000000000002</v>
      </c>
    </row>
    <row r="178" spans="1:4" x14ac:dyDescent="0.25">
      <c r="A178" s="21" t="s">
        <v>707</v>
      </c>
      <c r="B178" s="22" t="s">
        <v>708</v>
      </c>
      <c r="C178" s="11">
        <v>227.70000000000002</v>
      </c>
      <c r="D178" s="5">
        <v>455.40000000000003</v>
      </c>
    </row>
    <row r="179" spans="1:4" x14ac:dyDescent="0.25">
      <c r="A179" s="21" t="s">
        <v>709</v>
      </c>
      <c r="B179" s="22" t="s">
        <v>710</v>
      </c>
      <c r="C179" s="11">
        <v>195.15</v>
      </c>
      <c r="D179" s="5">
        <v>390.3</v>
      </c>
    </row>
    <row r="180" spans="1:4" x14ac:dyDescent="0.25">
      <c r="A180" s="21" t="s">
        <v>711</v>
      </c>
      <c r="B180" s="22" t="s">
        <v>710</v>
      </c>
      <c r="C180" s="11">
        <v>195.15</v>
      </c>
      <c r="D180" s="5">
        <v>390.3</v>
      </c>
    </row>
    <row r="181" spans="1:4" x14ac:dyDescent="0.25">
      <c r="A181" s="21" t="s">
        <v>712</v>
      </c>
      <c r="B181" s="22" t="s">
        <v>684</v>
      </c>
      <c r="C181" s="11">
        <v>130.9</v>
      </c>
      <c r="D181" s="5">
        <v>261.8</v>
      </c>
    </row>
    <row r="182" spans="1:4" x14ac:dyDescent="0.25">
      <c r="A182" s="21" t="s">
        <v>713</v>
      </c>
      <c r="B182" s="22" t="s">
        <v>686</v>
      </c>
      <c r="C182" s="11">
        <v>130.9</v>
      </c>
      <c r="D182" s="5">
        <v>261.8</v>
      </c>
    </row>
    <row r="183" spans="1:4" x14ac:dyDescent="0.25">
      <c r="A183" s="21" t="s">
        <v>714</v>
      </c>
      <c r="B183" s="22" t="s">
        <v>715</v>
      </c>
      <c r="C183" s="11">
        <v>2.6</v>
      </c>
      <c r="D183" s="5">
        <v>5.2</v>
      </c>
    </row>
    <row r="184" spans="1:4" x14ac:dyDescent="0.25">
      <c r="A184" s="21" t="s">
        <v>716</v>
      </c>
      <c r="B184" s="22" t="s">
        <v>717</v>
      </c>
      <c r="C184" s="11">
        <v>20.100000000000001</v>
      </c>
      <c r="D184" s="5">
        <v>40.200000000000003</v>
      </c>
    </row>
    <row r="185" spans="1:4" x14ac:dyDescent="0.25">
      <c r="A185" s="21" t="s">
        <v>718</v>
      </c>
      <c r="B185" s="22" t="s">
        <v>719</v>
      </c>
      <c r="C185" s="11">
        <v>0.30000000000000004</v>
      </c>
      <c r="D185" s="5">
        <v>0.60000000000000009</v>
      </c>
    </row>
    <row r="186" spans="1:4" x14ac:dyDescent="0.25">
      <c r="A186" s="21" t="s">
        <v>720</v>
      </c>
      <c r="B186" s="22" t="s">
        <v>721</v>
      </c>
      <c r="C186" s="11">
        <v>4.3500000000000005</v>
      </c>
      <c r="D186" s="5">
        <v>8.7000000000000011</v>
      </c>
    </row>
    <row r="187" spans="1:4" x14ac:dyDescent="0.25">
      <c r="A187" s="21" t="s">
        <v>722</v>
      </c>
      <c r="B187" s="22" t="s">
        <v>723</v>
      </c>
      <c r="C187" s="11">
        <v>0.65</v>
      </c>
      <c r="D187" s="5">
        <v>1.3</v>
      </c>
    </row>
    <row r="188" spans="1:4" x14ac:dyDescent="0.25">
      <c r="A188" s="21" t="s">
        <v>724</v>
      </c>
      <c r="B188" s="22" t="s">
        <v>725</v>
      </c>
      <c r="C188" s="11">
        <v>1.6500000000000001</v>
      </c>
      <c r="D188" s="5">
        <v>3.3000000000000003</v>
      </c>
    </row>
    <row r="189" spans="1:4" x14ac:dyDescent="0.25">
      <c r="A189" s="21" t="s">
        <v>726</v>
      </c>
      <c r="B189" s="22" t="s">
        <v>727</v>
      </c>
      <c r="C189" s="11">
        <v>1.6500000000000001</v>
      </c>
      <c r="D189" s="5">
        <v>3.3000000000000003</v>
      </c>
    </row>
    <row r="190" spans="1:4" x14ac:dyDescent="0.25">
      <c r="A190" s="21" t="s">
        <v>32</v>
      </c>
      <c r="B190" s="22" t="s">
        <v>728</v>
      </c>
      <c r="C190" s="11">
        <v>12.75</v>
      </c>
      <c r="D190" s="5">
        <v>24.3</v>
      </c>
    </row>
    <row r="191" spans="1:4" x14ac:dyDescent="0.25">
      <c r="A191" s="21" t="s">
        <v>729</v>
      </c>
      <c r="B191" s="22" t="s">
        <v>717</v>
      </c>
      <c r="C191" s="11">
        <v>19.350000000000001</v>
      </c>
      <c r="D191" s="5">
        <v>38.700000000000003</v>
      </c>
    </row>
    <row r="192" spans="1:4" x14ac:dyDescent="0.25">
      <c r="A192" s="21" t="s">
        <v>730</v>
      </c>
      <c r="B192" s="22" t="s">
        <v>731</v>
      </c>
      <c r="C192" s="11">
        <v>4.1500000000000004</v>
      </c>
      <c r="D192" s="5">
        <v>8.3000000000000007</v>
      </c>
    </row>
    <row r="193" spans="1:4" x14ac:dyDescent="0.25">
      <c r="A193" s="21" t="s">
        <v>732</v>
      </c>
      <c r="B193" s="22" t="s">
        <v>733</v>
      </c>
      <c r="C193" s="11">
        <v>1.55</v>
      </c>
      <c r="D193" s="5">
        <v>3.1</v>
      </c>
    </row>
    <row r="194" spans="1:4" x14ac:dyDescent="0.25">
      <c r="A194" s="21" t="s">
        <v>734</v>
      </c>
      <c r="B194" s="22" t="s">
        <v>728</v>
      </c>
      <c r="C194" s="11">
        <v>9.75</v>
      </c>
      <c r="D194" s="5">
        <v>19.5</v>
      </c>
    </row>
    <row r="195" spans="1:4" x14ac:dyDescent="0.25">
      <c r="A195" s="21" t="s">
        <v>735</v>
      </c>
      <c r="B195" s="22" t="s">
        <v>717</v>
      </c>
      <c r="C195" s="11">
        <v>19.350000000000001</v>
      </c>
      <c r="D195" s="5">
        <v>38.700000000000003</v>
      </c>
    </row>
    <row r="196" spans="1:4" x14ac:dyDescent="0.25">
      <c r="A196" s="21" t="s">
        <v>736</v>
      </c>
      <c r="B196" s="22" t="s">
        <v>717</v>
      </c>
      <c r="C196" s="11">
        <v>23.700000000000003</v>
      </c>
      <c r="D196" s="5">
        <v>47.400000000000006</v>
      </c>
    </row>
    <row r="197" spans="1:4" x14ac:dyDescent="0.25">
      <c r="A197" s="21" t="s">
        <v>737</v>
      </c>
      <c r="B197" s="23" t="s">
        <v>738</v>
      </c>
      <c r="C197" s="11">
        <v>3.25</v>
      </c>
      <c r="D197" s="5">
        <v>6.5</v>
      </c>
    </row>
    <row r="198" spans="1:4" x14ac:dyDescent="0.25">
      <c r="A198" s="21" t="s">
        <v>739</v>
      </c>
      <c r="B198" s="23" t="s">
        <v>740</v>
      </c>
      <c r="C198" s="11">
        <v>10.8</v>
      </c>
      <c r="D198" s="5">
        <v>21.6</v>
      </c>
    </row>
    <row r="199" spans="1:4" x14ac:dyDescent="0.25">
      <c r="A199" s="21" t="s">
        <v>741</v>
      </c>
      <c r="B199" s="23" t="s">
        <v>742</v>
      </c>
      <c r="C199" s="11">
        <v>43.25</v>
      </c>
      <c r="D199" s="5">
        <v>86.5</v>
      </c>
    </row>
    <row r="200" spans="1:4" x14ac:dyDescent="0.25">
      <c r="A200" s="21" t="s">
        <v>743</v>
      </c>
      <c r="B200" s="23" t="s">
        <v>744</v>
      </c>
      <c r="C200" s="11">
        <v>21.650000000000002</v>
      </c>
      <c r="D200" s="5">
        <v>43.300000000000004</v>
      </c>
    </row>
    <row r="201" spans="1:4" x14ac:dyDescent="0.25">
      <c r="A201" s="21" t="s">
        <v>745</v>
      </c>
      <c r="B201" s="23" t="s">
        <v>746</v>
      </c>
      <c r="C201" s="11">
        <v>140.6</v>
      </c>
      <c r="D201" s="5">
        <v>281.2</v>
      </c>
    </row>
    <row r="202" spans="1:4" x14ac:dyDescent="0.25">
      <c r="A202" s="21" t="s">
        <v>747</v>
      </c>
      <c r="B202" s="23" t="s">
        <v>738</v>
      </c>
      <c r="C202" s="11">
        <v>4.3500000000000005</v>
      </c>
      <c r="D202" s="5">
        <v>8.7000000000000011</v>
      </c>
    </row>
    <row r="203" spans="1:4" x14ac:dyDescent="0.25">
      <c r="A203" s="21" t="s">
        <v>748</v>
      </c>
      <c r="B203" s="23" t="s">
        <v>749</v>
      </c>
      <c r="C203" s="11">
        <v>6.5</v>
      </c>
      <c r="D203" s="5">
        <v>13</v>
      </c>
    </row>
    <row r="204" spans="1:4" x14ac:dyDescent="0.25">
      <c r="A204" s="21" t="s">
        <v>750</v>
      </c>
      <c r="B204" s="23" t="s">
        <v>742</v>
      </c>
      <c r="C204" s="11">
        <v>48.650000000000006</v>
      </c>
      <c r="D204" s="5">
        <v>97.300000000000011</v>
      </c>
    </row>
    <row r="205" spans="1:4" x14ac:dyDescent="0.25">
      <c r="A205" s="21" t="s">
        <v>751</v>
      </c>
      <c r="B205" s="23" t="s">
        <v>746</v>
      </c>
      <c r="C205" s="11">
        <v>150.35</v>
      </c>
      <c r="D205" s="5">
        <v>300.7</v>
      </c>
    </row>
    <row r="206" spans="1:4" x14ac:dyDescent="0.25">
      <c r="A206" s="21" t="s">
        <v>752</v>
      </c>
      <c r="B206" s="23" t="s">
        <v>744</v>
      </c>
      <c r="C206" s="11">
        <v>23.25</v>
      </c>
      <c r="D206" s="5">
        <v>46.5</v>
      </c>
    </row>
    <row r="207" spans="1:4" x14ac:dyDescent="0.25">
      <c r="A207" s="21">
        <v>383257</v>
      </c>
      <c r="B207" s="21" t="s">
        <v>753</v>
      </c>
      <c r="C207" s="11">
        <v>3.75</v>
      </c>
      <c r="D207" s="5">
        <v>7.5</v>
      </c>
    </row>
    <row r="208" spans="1:4" x14ac:dyDescent="0.25">
      <c r="A208" s="24">
        <v>891099</v>
      </c>
      <c r="B208" s="25" t="s">
        <v>754</v>
      </c>
      <c r="C208" s="11">
        <v>4.8500000000000005</v>
      </c>
      <c r="D208" s="5">
        <v>9.7000000000000011</v>
      </c>
    </row>
    <row r="209" spans="1:4" x14ac:dyDescent="0.25">
      <c r="A209" s="24">
        <v>1000050</v>
      </c>
      <c r="B209" s="25" t="s">
        <v>755</v>
      </c>
      <c r="C209" s="11">
        <v>0.15000000000000002</v>
      </c>
      <c r="D209" s="5">
        <v>0.30000000000000004</v>
      </c>
    </row>
    <row r="210" spans="1:4" x14ac:dyDescent="0.25">
      <c r="A210" s="24">
        <v>1000070</v>
      </c>
      <c r="B210" s="25" t="s">
        <v>756</v>
      </c>
      <c r="C210" s="11">
        <v>85.65</v>
      </c>
      <c r="D210" s="5">
        <v>171.3</v>
      </c>
    </row>
    <row r="211" spans="1:4" x14ac:dyDescent="0.25">
      <c r="A211" s="24">
        <v>1000077</v>
      </c>
      <c r="B211" s="25" t="s">
        <v>757</v>
      </c>
      <c r="C211" s="11">
        <v>0.55000000000000004</v>
      </c>
      <c r="D211" s="5">
        <v>1.1000000000000001</v>
      </c>
    </row>
    <row r="212" spans="1:4" x14ac:dyDescent="0.25">
      <c r="A212" s="24">
        <v>1000091</v>
      </c>
      <c r="B212" s="25" t="s">
        <v>758</v>
      </c>
      <c r="C212" s="11">
        <v>26</v>
      </c>
      <c r="D212" s="5">
        <v>52</v>
      </c>
    </row>
    <row r="213" spans="1:4" x14ac:dyDescent="0.25">
      <c r="A213" s="24">
        <v>1000132</v>
      </c>
      <c r="B213" s="25" t="s">
        <v>759</v>
      </c>
      <c r="C213" s="11">
        <v>0.30000000000000004</v>
      </c>
      <c r="D213" s="5">
        <v>0.60000000000000009</v>
      </c>
    </row>
    <row r="214" spans="1:4" x14ac:dyDescent="0.25">
      <c r="A214" s="24">
        <v>1000133</v>
      </c>
      <c r="B214" s="25" t="s">
        <v>760</v>
      </c>
      <c r="C214" s="11">
        <v>0.4</v>
      </c>
      <c r="D214" s="5">
        <v>0.8</v>
      </c>
    </row>
    <row r="215" spans="1:4" x14ac:dyDescent="0.25">
      <c r="A215" s="24">
        <v>1000134</v>
      </c>
      <c r="B215" s="25" t="s">
        <v>761</v>
      </c>
      <c r="C215" s="11">
        <v>0.65</v>
      </c>
      <c r="D215" s="5">
        <v>1.3</v>
      </c>
    </row>
    <row r="216" spans="1:4" x14ac:dyDescent="0.25">
      <c r="A216" s="24">
        <v>1000136</v>
      </c>
      <c r="B216" s="25" t="s">
        <v>762</v>
      </c>
      <c r="C216" s="11">
        <v>0.15000000000000002</v>
      </c>
      <c r="D216" s="5">
        <v>0.30000000000000004</v>
      </c>
    </row>
    <row r="217" spans="1:4" x14ac:dyDescent="0.25">
      <c r="A217" s="24">
        <v>1000188</v>
      </c>
      <c r="B217" s="25" t="s">
        <v>763</v>
      </c>
      <c r="C217" s="11">
        <v>9.1</v>
      </c>
      <c r="D217" s="5">
        <v>18.2</v>
      </c>
    </row>
    <row r="218" spans="1:4" x14ac:dyDescent="0.25">
      <c r="A218" s="24">
        <v>1000192</v>
      </c>
      <c r="B218" s="25" t="s">
        <v>764</v>
      </c>
      <c r="C218" s="11">
        <v>11.4</v>
      </c>
      <c r="D218" s="5">
        <v>22.8</v>
      </c>
    </row>
    <row r="219" spans="1:4" x14ac:dyDescent="0.25">
      <c r="A219" s="24">
        <v>1000244</v>
      </c>
      <c r="B219" s="25" t="s">
        <v>765</v>
      </c>
      <c r="C219" s="11">
        <v>8.4500000000000011</v>
      </c>
      <c r="D219" s="5">
        <v>16.900000000000002</v>
      </c>
    </row>
    <row r="220" spans="1:4" x14ac:dyDescent="0.25">
      <c r="A220" s="24">
        <v>1000282</v>
      </c>
      <c r="B220" s="25" t="s">
        <v>766</v>
      </c>
      <c r="C220" s="11">
        <v>13.4</v>
      </c>
      <c r="D220" s="5">
        <v>26.8</v>
      </c>
    </row>
    <row r="221" spans="1:4" x14ac:dyDescent="0.25">
      <c r="A221" s="24">
        <v>1000312</v>
      </c>
      <c r="B221" s="25" t="s">
        <v>767</v>
      </c>
      <c r="C221" s="11">
        <v>4.75</v>
      </c>
      <c r="D221" s="5">
        <v>9.5</v>
      </c>
    </row>
    <row r="222" spans="1:4" x14ac:dyDescent="0.25">
      <c r="A222" s="24">
        <v>1000345</v>
      </c>
      <c r="B222" s="25" t="s">
        <v>768</v>
      </c>
      <c r="C222" s="11">
        <v>47.75</v>
      </c>
      <c r="D222" s="5">
        <v>95.5</v>
      </c>
    </row>
    <row r="223" spans="1:4" x14ac:dyDescent="0.25">
      <c r="A223" s="24">
        <v>1000351</v>
      </c>
      <c r="B223" s="25" t="s">
        <v>769</v>
      </c>
      <c r="C223" s="11">
        <v>2.85</v>
      </c>
      <c r="D223" s="5">
        <v>5.7</v>
      </c>
    </row>
    <row r="224" spans="1:4" x14ac:dyDescent="0.25">
      <c r="A224" s="24">
        <v>1000353</v>
      </c>
      <c r="B224" s="25" t="s">
        <v>770</v>
      </c>
      <c r="C224" s="11">
        <v>6.3500000000000005</v>
      </c>
      <c r="D224" s="5">
        <v>12.700000000000001</v>
      </c>
    </row>
    <row r="225" spans="1:4" x14ac:dyDescent="0.25">
      <c r="A225" s="24">
        <v>1000356</v>
      </c>
      <c r="B225" s="25" t="s">
        <v>771</v>
      </c>
      <c r="C225" s="11">
        <v>3.3000000000000003</v>
      </c>
      <c r="D225" s="5">
        <v>6.6000000000000005</v>
      </c>
    </row>
    <row r="226" spans="1:4" x14ac:dyDescent="0.25">
      <c r="A226" s="24">
        <v>1000357</v>
      </c>
      <c r="B226" s="25" t="s">
        <v>772</v>
      </c>
      <c r="C226" s="11">
        <v>16.150000000000002</v>
      </c>
      <c r="D226" s="5">
        <v>32.300000000000004</v>
      </c>
    </row>
    <row r="227" spans="1:4" x14ac:dyDescent="0.25">
      <c r="A227" s="24">
        <v>1000375</v>
      </c>
      <c r="B227" s="25" t="s">
        <v>773</v>
      </c>
      <c r="C227" s="11">
        <v>8.15</v>
      </c>
      <c r="D227" s="5">
        <v>16.3</v>
      </c>
    </row>
    <row r="228" spans="1:4" x14ac:dyDescent="0.25">
      <c r="A228" s="24">
        <v>1000418</v>
      </c>
      <c r="B228" s="25" t="s">
        <v>774</v>
      </c>
      <c r="C228" s="11">
        <v>0.95000000000000007</v>
      </c>
      <c r="D228" s="5">
        <v>1.9000000000000001</v>
      </c>
    </row>
    <row r="229" spans="1:4" x14ac:dyDescent="0.25">
      <c r="A229" s="24">
        <v>1000636</v>
      </c>
      <c r="B229" s="25" t="s">
        <v>775</v>
      </c>
      <c r="C229" s="11">
        <v>20.350000000000001</v>
      </c>
      <c r="D229" s="5">
        <v>40.700000000000003</v>
      </c>
    </row>
    <row r="230" spans="1:4" x14ac:dyDescent="0.25">
      <c r="A230" s="24">
        <v>1000744</v>
      </c>
      <c r="B230" s="25" t="s">
        <v>776</v>
      </c>
      <c r="C230" s="11">
        <v>12.450000000000001</v>
      </c>
      <c r="D230" s="5">
        <v>24.900000000000002</v>
      </c>
    </row>
    <row r="231" spans="1:4" x14ac:dyDescent="0.25">
      <c r="A231" s="24">
        <v>1000745</v>
      </c>
      <c r="B231" s="25" t="s">
        <v>777</v>
      </c>
      <c r="C231" s="11">
        <v>12.450000000000001</v>
      </c>
      <c r="D231" s="5">
        <v>24.900000000000002</v>
      </c>
    </row>
    <row r="232" spans="1:4" x14ac:dyDescent="0.25">
      <c r="A232" s="24">
        <v>1000762</v>
      </c>
      <c r="B232" s="25" t="s">
        <v>778</v>
      </c>
      <c r="C232" s="11">
        <v>4.45</v>
      </c>
      <c r="D232" s="5">
        <v>8.9</v>
      </c>
    </row>
    <row r="233" spans="1:4" x14ac:dyDescent="0.25">
      <c r="A233" s="24">
        <v>1000803</v>
      </c>
      <c r="B233" s="25" t="s">
        <v>779</v>
      </c>
      <c r="C233" s="11">
        <v>8.0500000000000007</v>
      </c>
      <c r="D233" s="5">
        <v>16.100000000000001</v>
      </c>
    </row>
    <row r="234" spans="1:4" x14ac:dyDescent="0.25">
      <c r="A234" s="24">
        <v>1000814</v>
      </c>
      <c r="B234" s="25" t="s">
        <v>443</v>
      </c>
      <c r="C234" s="11">
        <v>0.15000000000000002</v>
      </c>
      <c r="D234" s="5">
        <v>0.30000000000000004</v>
      </c>
    </row>
    <row r="235" spans="1:4" x14ac:dyDescent="0.25">
      <c r="A235" s="24">
        <v>1000821</v>
      </c>
      <c r="B235" s="25" t="s">
        <v>780</v>
      </c>
      <c r="C235" s="11">
        <v>42.300000000000004</v>
      </c>
      <c r="D235" s="5">
        <v>84.600000000000009</v>
      </c>
    </row>
    <row r="236" spans="1:4" x14ac:dyDescent="0.25">
      <c r="A236" s="24">
        <v>1000833</v>
      </c>
      <c r="B236" s="25" t="s">
        <v>781</v>
      </c>
      <c r="C236" s="11">
        <v>3.75</v>
      </c>
      <c r="D236" s="5">
        <v>7.5</v>
      </c>
    </row>
    <row r="237" spans="1:4" x14ac:dyDescent="0.25">
      <c r="A237" s="24">
        <v>1000835</v>
      </c>
      <c r="B237" s="25" t="s">
        <v>782</v>
      </c>
      <c r="C237" s="11">
        <v>9.4</v>
      </c>
      <c r="D237" s="5">
        <v>18.8</v>
      </c>
    </row>
    <row r="238" spans="1:4" x14ac:dyDescent="0.25">
      <c r="A238" s="24">
        <v>1000862</v>
      </c>
      <c r="B238" s="25" t="s">
        <v>783</v>
      </c>
      <c r="C238" s="11">
        <v>23.35</v>
      </c>
      <c r="D238" s="5">
        <v>46.7</v>
      </c>
    </row>
    <row r="239" spans="1:4" x14ac:dyDescent="0.25">
      <c r="A239" s="24">
        <v>1000869</v>
      </c>
      <c r="B239" s="25" t="s">
        <v>784</v>
      </c>
      <c r="C239" s="11">
        <v>3.75</v>
      </c>
      <c r="D239" s="5">
        <v>7.5</v>
      </c>
    </row>
    <row r="240" spans="1:4" x14ac:dyDescent="0.25">
      <c r="A240" s="24">
        <v>1000900</v>
      </c>
      <c r="B240" s="25" t="s">
        <v>785</v>
      </c>
      <c r="C240" s="11">
        <v>0.60000000000000009</v>
      </c>
      <c r="D240" s="5">
        <v>1.2000000000000002</v>
      </c>
    </row>
    <row r="241" spans="1:4" x14ac:dyDescent="0.25">
      <c r="A241" s="24">
        <v>1000927</v>
      </c>
      <c r="B241" s="25" t="s">
        <v>786</v>
      </c>
      <c r="C241" s="11">
        <v>1.1000000000000001</v>
      </c>
      <c r="D241" s="5">
        <v>2.2000000000000002</v>
      </c>
    </row>
    <row r="242" spans="1:4" x14ac:dyDescent="0.25">
      <c r="A242" s="24">
        <v>1000930</v>
      </c>
      <c r="B242" s="25" t="s">
        <v>787</v>
      </c>
      <c r="C242" s="11">
        <v>0.15000000000000002</v>
      </c>
      <c r="D242" s="5">
        <v>0.30000000000000004</v>
      </c>
    </row>
    <row r="243" spans="1:4" x14ac:dyDescent="0.25">
      <c r="A243" s="24">
        <v>1000972</v>
      </c>
      <c r="B243" s="25" t="s">
        <v>788</v>
      </c>
      <c r="C243" s="11">
        <v>2.75</v>
      </c>
      <c r="D243" s="5">
        <v>5.5</v>
      </c>
    </row>
    <row r="244" spans="1:4" x14ac:dyDescent="0.25">
      <c r="A244" s="24">
        <v>1000974</v>
      </c>
      <c r="B244" s="25" t="s">
        <v>789</v>
      </c>
      <c r="C244" s="11">
        <v>5.95</v>
      </c>
      <c r="D244" s="5">
        <v>11.9</v>
      </c>
    </row>
    <row r="245" spans="1:4" x14ac:dyDescent="0.25">
      <c r="A245" s="24">
        <v>1000975</v>
      </c>
      <c r="B245" s="25" t="s">
        <v>790</v>
      </c>
      <c r="C245" s="11">
        <v>6.8500000000000005</v>
      </c>
      <c r="D245" s="5">
        <v>13.700000000000001</v>
      </c>
    </row>
    <row r="246" spans="1:4" x14ac:dyDescent="0.25">
      <c r="A246" s="24">
        <v>1000978</v>
      </c>
      <c r="B246" s="25" t="s">
        <v>791</v>
      </c>
      <c r="C246" s="11">
        <v>7.5</v>
      </c>
      <c r="D246" s="5">
        <v>15</v>
      </c>
    </row>
    <row r="247" spans="1:4" x14ac:dyDescent="0.25">
      <c r="A247" s="24">
        <v>1001308</v>
      </c>
      <c r="B247" s="25" t="s">
        <v>792</v>
      </c>
      <c r="C247" s="11">
        <v>0.30000000000000004</v>
      </c>
      <c r="D247" s="5">
        <v>0.60000000000000009</v>
      </c>
    </row>
    <row r="248" spans="1:4" x14ac:dyDescent="0.25">
      <c r="A248" s="24">
        <v>1001365</v>
      </c>
      <c r="B248" s="25" t="s">
        <v>793</v>
      </c>
      <c r="C248" s="11">
        <v>43.650000000000006</v>
      </c>
      <c r="D248" s="5">
        <v>87.300000000000011</v>
      </c>
    </row>
    <row r="249" spans="1:4" x14ac:dyDescent="0.25">
      <c r="A249" s="24">
        <v>1001368</v>
      </c>
      <c r="B249" s="25" t="s">
        <v>794</v>
      </c>
      <c r="C249" s="11">
        <v>43.650000000000006</v>
      </c>
      <c r="D249" s="5">
        <v>87.300000000000011</v>
      </c>
    </row>
    <row r="250" spans="1:4" x14ac:dyDescent="0.25">
      <c r="A250" s="24">
        <v>1001371</v>
      </c>
      <c r="B250" s="25" t="s">
        <v>795</v>
      </c>
      <c r="C250" s="11">
        <v>29.900000000000002</v>
      </c>
      <c r="D250" s="5">
        <v>59.800000000000004</v>
      </c>
    </row>
    <row r="251" spans="1:4" x14ac:dyDescent="0.25">
      <c r="A251" s="24">
        <v>1001375</v>
      </c>
      <c r="B251" s="25" t="s">
        <v>796</v>
      </c>
      <c r="C251" s="11">
        <v>29.900000000000002</v>
      </c>
      <c r="D251" s="5">
        <v>59.800000000000004</v>
      </c>
    </row>
    <row r="252" spans="1:4" x14ac:dyDescent="0.25">
      <c r="A252" s="24">
        <v>1001492</v>
      </c>
      <c r="B252" s="25" t="s">
        <v>797</v>
      </c>
      <c r="C252" s="11">
        <v>29.900000000000002</v>
      </c>
      <c r="D252" s="5">
        <v>59.800000000000004</v>
      </c>
    </row>
    <row r="253" spans="1:4" x14ac:dyDescent="0.25">
      <c r="A253" s="24">
        <v>1001514</v>
      </c>
      <c r="B253" s="25" t="s">
        <v>798</v>
      </c>
      <c r="C253" s="11">
        <v>17.45</v>
      </c>
      <c r="D253" s="5">
        <v>34.9</v>
      </c>
    </row>
    <row r="254" spans="1:4" x14ac:dyDescent="0.25">
      <c r="A254" s="24">
        <v>1001673</v>
      </c>
      <c r="B254" s="25" t="s">
        <v>799</v>
      </c>
      <c r="C254" s="11">
        <v>18.7</v>
      </c>
      <c r="D254" s="5">
        <v>37.4</v>
      </c>
    </row>
    <row r="255" spans="1:4" x14ac:dyDescent="0.25">
      <c r="A255" s="24">
        <v>1001675</v>
      </c>
      <c r="B255" s="25" t="s">
        <v>800</v>
      </c>
      <c r="C255" s="11">
        <v>20.350000000000001</v>
      </c>
      <c r="D255" s="5">
        <v>40.700000000000003</v>
      </c>
    </row>
    <row r="256" spans="1:4" x14ac:dyDescent="0.25">
      <c r="A256" s="24">
        <v>1002023</v>
      </c>
      <c r="B256" s="25" t="s">
        <v>801</v>
      </c>
      <c r="C256" s="11">
        <v>10.25</v>
      </c>
      <c r="D256" s="5">
        <v>20.5</v>
      </c>
    </row>
    <row r="257" spans="1:4" x14ac:dyDescent="0.25">
      <c r="A257" s="24">
        <v>1002038</v>
      </c>
      <c r="B257" s="25" t="s">
        <v>802</v>
      </c>
      <c r="C257" s="11">
        <v>23.450000000000003</v>
      </c>
      <c r="D257" s="5">
        <v>46.900000000000006</v>
      </c>
    </row>
    <row r="258" spans="1:4" x14ac:dyDescent="0.25">
      <c r="A258" s="24">
        <v>1002039</v>
      </c>
      <c r="B258" s="25" t="s">
        <v>803</v>
      </c>
      <c r="C258" s="11">
        <v>23.450000000000003</v>
      </c>
      <c r="D258" s="5">
        <v>46.900000000000006</v>
      </c>
    </row>
    <row r="259" spans="1:4" x14ac:dyDescent="0.25">
      <c r="A259" s="24">
        <v>1002140</v>
      </c>
      <c r="B259" s="25" t="s">
        <v>804</v>
      </c>
      <c r="C259" s="11">
        <v>5.5500000000000007</v>
      </c>
      <c r="D259" s="5">
        <v>11.100000000000001</v>
      </c>
    </row>
    <row r="260" spans="1:4" x14ac:dyDescent="0.25">
      <c r="A260" s="24">
        <v>1002144</v>
      </c>
      <c r="B260" s="25" t="s">
        <v>805</v>
      </c>
      <c r="C260" s="11">
        <v>12.25</v>
      </c>
      <c r="D260" s="5">
        <v>24.5</v>
      </c>
    </row>
    <row r="261" spans="1:4" x14ac:dyDescent="0.25">
      <c r="A261" s="24">
        <v>1002156</v>
      </c>
      <c r="B261" s="25" t="s">
        <v>806</v>
      </c>
      <c r="C261" s="11">
        <v>0.65</v>
      </c>
      <c r="D261" s="5">
        <v>1.3</v>
      </c>
    </row>
    <row r="262" spans="1:4" x14ac:dyDescent="0.25">
      <c r="A262" s="24">
        <v>1002175</v>
      </c>
      <c r="B262" s="25" t="s">
        <v>807</v>
      </c>
      <c r="C262" s="11">
        <v>9.75</v>
      </c>
      <c r="D262" s="5">
        <v>19.5</v>
      </c>
    </row>
    <row r="263" spans="1:4" x14ac:dyDescent="0.25">
      <c r="A263" s="24">
        <v>1002176</v>
      </c>
      <c r="B263" s="25" t="s">
        <v>808</v>
      </c>
      <c r="C263" s="11">
        <v>10.25</v>
      </c>
      <c r="D263" s="5">
        <v>20.5</v>
      </c>
    </row>
    <row r="264" spans="1:4" x14ac:dyDescent="0.25">
      <c r="A264" s="24">
        <v>1002177</v>
      </c>
      <c r="B264" s="25" t="s">
        <v>809</v>
      </c>
      <c r="C264" s="11">
        <v>11.5</v>
      </c>
      <c r="D264" s="5">
        <v>23</v>
      </c>
    </row>
    <row r="265" spans="1:4" x14ac:dyDescent="0.25">
      <c r="A265" s="24">
        <v>1002178</v>
      </c>
      <c r="B265" s="25" t="s">
        <v>810</v>
      </c>
      <c r="C265" s="11">
        <v>12.75</v>
      </c>
      <c r="D265" s="5">
        <v>25.5</v>
      </c>
    </row>
    <row r="266" spans="1:4" x14ac:dyDescent="0.25">
      <c r="A266" s="24">
        <v>1002179</v>
      </c>
      <c r="B266" s="25" t="s">
        <v>811</v>
      </c>
      <c r="C266" s="11">
        <v>14.9</v>
      </c>
      <c r="D266" s="5">
        <v>29.8</v>
      </c>
    </row>
    <row r="267" spans="1:4" x14ac:dyDescent="0.25">
      <c r="A267" s="24">
        <v>1002180</v>
      </c>
      <c r="B267" s="25" t="s">
        <v>812</v>
      </c>
      <c r="C267" s="11">
        <v>16.100000000000001</v>
      </c>
      <c r="D267" s="5">
        <v>32.200000000000003</v>
      </c>
    </row>
    <row r="268" spans="1:4" x14ac:dyDescent="0.25">
      <c r="A268" s="24">
        <v>1002181</v>
      </c>
      <c r="B268" s="25" t="s">
        <v>813</v>
      </c>
      <c r="C268" s="11">
        <v>19.350000000000001</v>
      </c>
      <c r="D268" s="5">
        <v>38.700000000000003</v>
      </c>
    </row>
    <row r="269" spans="1:4" x14ac:dyDescent="0.25">
      <c r="A269" s="24">
        <v>1002182</v>
      </c>
      <c r="B269" s="25" t="s">
        <v>814</v>
      </c>
      <c r="C269" s="11">
        <v>23.1</v>
      </c>
      <c r="D269" s="5">
        <v>46.2</v>
      </c>
    </row>
    <row r="270" spans="1:4" x14ac:dyDescent="0.25">
      <c r="A270" s="24">
        <v>1002183</v>
      </c>
      <c r="B270" s="25" t="s">
        <v>815</v>
      </c>
      <c r="C270" s="11">
        <v>26.200000000000003</v>
      </c>
      <c r="D270" s="5">
        <v>52.400000000000006</v>
      </c>
    </row>
    <row r="271" spans="1:4" x14ac:dyDescent="0.25">
      <c r="A271" s="24">
        <v>1002184</v>
      </c>
      <c r="B271" s="25" t="s">
        <v>816</v>
      </c>
      <c r="C271" s="11">
        <v>11.65</v>
      </c>
      <c r="D271" s="5">
        <v>23.3</v>
      </c>
    </row>
    <row r="272" spans="1:4" x14ac:dyDescent="0.25">
      <c r="A272" s="24">
        <v>1002185</v>
      </c>
      <c r="B272" s="25" t="s">
        <v>817</v>
      </c>
      <c r="C272" s="11">
        <v>0.75</v>
      </c>
      <c r="D272" s="5">
        <v>1.5</v>
      </c>
    </row>
    <row r="273" spans="1:4" x14ac:dyDescent="0.25">
      <c r="A273" s="24">
        <v>1002189</v>
      </c>
      <c r="B273" s="25" t="s">
        <v>818</v>
      </c>
      <c r="C273" s="11">
        <v>0.65</v>
      </c>
      <c r="D273" s="5">
        <v>1.3</v>
      </c>
    </row>
    <row r="274" spans="1:4" x14ac:dyDescent="0.25">
      <c r="A274" s="24">
        <v>1002236</v>
      </c>
      <c r="B274" s="25" t="s">
        <v>819</v>
      </c>
      <c r="C274" s="11">
        <v>36.800000000000004</v>
      </c>
      <c r="D274" s="5">
        <v>73.600000000000009</v>
      </c>
    </row>
    <row r="275" spans="1:4" x14ac:dyDescent="0.25">
      <c r="A275" s="24">
        <v>1002239</v>
      </c>
      <c r="B275" s="25" t="s">
        <v>820</v>
      </c>
      <c r="C275" s="11">
        <v>12.950000000000001</v>
      </c>
      <c r="D275" s="5">
        <v>25.900000000000002</v>
      </c>
    </row>
    <row r="276" spans="1:4" x14ac:dyDescent="0.25">
      <c r="A276" s="24">
        <v>1002245</v>
      </c>
      <c r="B276" s="25" t="s">
        <v>821</v>
      </c>
      <c r="C276" s="11">
        <v>72.650000000000006</v>
      </c>
      <c r="D276" s="5">
        <v>145.30000000000001</v>
      </c>
    </row>
    <row r="277" spans="1:4" x14ac:dyDescent="0.25">
      <c r="A277" s="24">
        <v>1002250</v>
      </c>
      <c r="B277" s="25" t="s">
        <v>822</v>
      </c>
      <c r="C277" s="11">
        <v>78.650000000000006</v>
      </c>
      <c r="D277" s="5">
        <v>157.30000000000001</v>
      </c>
    </row>
    <row r="278" spans="1:4" x14ac:dyDescent="0.25">
      <c r="A278" s="24">
        <v>1002254</v>
      </c>
      <c r="B278" s="25" t="s">
        <v>823</v>
      </c>
      <c r="C278" s="11">
        <v>65.55</v>
      </c>
      <c r="D278" s="5">
        <v>131.1</v>
      </c>
    </row>
    <row r="279" spans="1:4" x14ac:dyDescent="0.25">
      <c r="A279" s="24">
        <v>1002322</v>
      </c>
      <c r="B279" s="25" t="s">
        <v>824</v>
      </c>
      <c r="C279" s="11">
        <v>15.15</v>
      </c>
      <c r="D279" s="5">
        <v>30.3</v>
      </c>
    </row>
    <row r="280" spans="1:4" x14ac:dyDescent="0.25">
      <c r="A280" s="24">
        <v>1002330</v>
      </c>
      <c r="B280" s="25" t="s">
        <v>825</v>
      </c>
      <c r="C280" s="11">
        <v>19.25</v>
      </c>
      <c r="D280" s="5">
        <v>38.5</v>
      </c>
    </row>
    <row r="281" spans="1:4" x14ac:dyDescent="0.25">
      <c r="A281" s="24">
        <v>1002331</v>
      </c>
      <c r="B281" s="25" t="s">
        <v>826</v>
      </c>
      <c r="C281" s="11">
        <v>19.25</v>
      </c>
      <c r="D281" s="5">
        <v>38.5</v>
      </c>
    </row>
    <row r="282" spans="1:4" x14ac:dyDescent="0.25">
      <c r="A282" s="24">
        <v>1002346</v>
      </c>
      <c r="B282" s="25" t="s">
        <v>827</v>
      </c>
      <c r="C282" s="11">
        <v>74.850000000000009</v>
      </c>
      <c r="D282" s="5">
        <v>149.70000000000002</v>
      </c>
    </row>
    <row r="283" spans="1:4" x14ac:dyDescent="0.25">
      <c r="A283" s="24">
        <v>1002350</v>
      </c>
      <c r="B283" s="25" t="s">
        <v>828</v>
      </c>
      <c r="C283" s="11">
        <v>12.350000000000001</v>
      </c>
      <c r="D283" s="5">
        <v>24.700000000000003</v>
      </c>
    </row>
    <row r="284" spans="1:4" x14ac:dyDescent="0.25">
      <c r="A284" s="24">
        <v>1002358</v>
      </c>
      <c r="B284" s="25" t="s">
        <v>829</v>
      </c>
      <c r="C284" s="11">
        <v>9.75</v>
      </c>
      <c r="D284" s="5">
        <v>19.5</v>
      </c>
    </row>
    <row r="285" spans="1:4" x14ac:dyDescent="0.25">
      <c r="A285" s="24">
        <v>1002360</v>
      </c>
      <c r="B285" s="25" t="s">
        <v>830</v>
      </c>
      <c r="C285" s="11">
        <v>9.6000000000000014</v>
      </c>
      <c r="D285" s="5">
        <v>19.200000000000003</v>
      </c>
    </row>
    <row r="286" spans="1:4" x14ac:dyDescent="0.25">
      <c r="A286" s="24">
        <v>1002365</v>
      </c>
      <c r="B286" s="25" t="s">
        <v>831</v>
      </c>
      <c r="C286" s="11">
        <v>13.3</v>
      </c>
      <c r="D286" s="5">
        <v>26.6</v>
      </c>
    </row>
    <row r="287" spans="1:4" x14ac:dyDescent="0.25">
      <c r="A287" s="24">
        <v>1002375</v>
      </c>
      <c r="B287" s="25" t="s">
        <v>832</v>
      </c>
      <c r="C287" s="11">
        <v>20.350000000000001</v>
      </c>
      <c r="D287" s="5">
        <v>40.700000000000003</v>
      </c>
    </row>
    <row r="288" spans="1:4" x14ac:dyDescent="0.25">
      <c r="A288" s="24">
        <v>1002377</v>
      </c>
      <c r="B288" s="25" t="s">
        <v>833</v>
      </c>
      <c r="C288" s="11">
        <v>29</v>
      </c>
      <c r="D288" s="5">
        <v>58</v>
      </c>
    </row>
    <row r="289" spans="1:4" x14ac:dyDescent="0.25">
      <c r="A289" s="24">
        <v>1002380</v>
      </c>
      <c r="B289" s="25" t="s">
        <v>834</v>
      </c>
      <c r="C289" s="11">
        <v>34.15</v>
      </c>
      <c r="D289" s="5">
        <v>68.3</v>
      </c>
    </row>
    <row r="290" spans="1:4" x14ac:dyDescent="0.25">
      <c r="A290" s="24">
        <v>1002385</v>
      </c>
      <c r="B290" s="25" t="s">
        <v>835</v>
      </c>
      <c r="C290" s="11">
        <v>34.15</v>
      </c>
      <c r="D290" s="5">
        <v>68.3</v>
      </c>
    </row>
    <row r="291" spans="1:4" x14ac:dyDescent="0.25">
      <c r="A291" s="24">
        <v>1002387</v>
      </c>
      <c r="B291" s="25" t="s">
        <v>836</v>
      </c>
      <c r="C291" s="11">
        <v>29.900000000000002</v>
      </c>
      <c r="D291" s="5">
        <v>59.800000000000004</v>
      </c>
    </row>
    <row r="292" spans="1:4" x14ac:dyDescent="0.25">
      <c r="A292" s="24">
        <v>1002388</v>
      </c>
      <c r="B292" s="25" t="s">
        <v>837</v>
      </c>
      <c r="C292" s="11">
        <v>44.900000000000006</v>
      </c>
      <c r="D292" s="5">
        <v>89.800000000000011</v>
      </c>
    </row>
    <row r="293" spans="1:4" x14ac:dyDescent="0.25">
      <c r="A293" s="24">
        <v>1002389</v>
      </c>
      <c r="B293" s="25" t="s">
        <v>838</v>
      </c>
      <c r="C293" s="11">
        <v>32.550000000000004</v>
      </c>
      <c r="D293" s="5">
        <v>65.100000000000009</v>
      </c>
    </row>
    <row r="294" spans="1:4" x14ac:dyDescent="0.25">
      <c r="A294" s="24">
        <v>1002394</v>
      </c>
      <c r="B294" s="25" t="s">
        <v>839</v>
      </c>
      <c r="C294" s="11">
        <v>37.950000000000003</v>
      </c>
      <c r="D294" s="5">
        <v>75.900000000000006</v>
      </c>
    </row>
    <row r="295" spans="1:4" x14ac:dyDescent="0.25">
      <c r="A295" s="24">
        <v>1002412</v>
      </c>
      <c r="B295" s="25" t="s">
        <v>840</v>
      </c>
      <c r="C295" s="11">
        <v>1.05</v>
      </c>
      <c r="D295" s="5">
        <v>2.1</v>
      </c>
    </row>
    <row r="296" spans="1:4" x14ac:dyDescent="0.25">
      <c r="A296" s="24">
        <v>1002413</v>
      </c>
      <c r="B296" s="25" t="s">
        <v>841</v>
      </c>
      <c r="C296" s="11">
        <v>0.65</v>
      </c>
      <c r="D296" s="5">
        <v>1.3</v>
      </c>
    </row>
    <row r="297" spans="1:4" x14ac:dyDescent="0.25">
      <c r="A297" s="24">
        <v>1002415</v>
      </c>
      <c r="B297" s="25" t="s">
        <v>842</v>
      </c>
      <c r="C297" s="11">
        <v>2.75</v>
      </c>
      <c r="D297" s="5">
        <v>5.5</v>
      </c>
    </row>
    <row r="298" spans="1:4" x14ac:dyDescent="0.25">
      <c r="A298" s="24">
        <v>1002416</v>
      </c>
      <c r="B298" s="25" t="s">
        <v>843</v>
      </c>
      <c r="C298" s="11">
        <v>3.75</v>
      </c>
      <c r="D298" s="5">
        <v>7.5</v>
      </c>
    </row>
    <row r="299" spans="1:4" x14ac:dyDescent="0.25">
      <c r="A299" s="24">
        <v>1002422</v>
      </c>
      <c r="B299" s="25" t="s">
        <v>844</v>
      </c>
      <c r="C299" s="11">
        <v>0.2</v>
      </c>
      <c r="D299" s="5">
        <v>0.4</v>
      </c>
    </row>
    <row r="300" spans="1:4" x14ac:dyDescent="0.25">
      <c r="A300" s="24">
        <v>1002438</v>
      </c>
      <c r="B300" s="25" t="s">
        <v>845</v>
      </c>
      <c r="C300" s="11">
        <v>89.45</v>
      </c>
      <c r="D300" s="5">
        <v>178.9</v>
      </c>
    </row>
    <row r="301" spans="1:4" x14ac:dyDescent="0.25">
      <c r="A301" s="24">
        <v>1002448</v>
      </c>
      <c r="B301" s="25" t="s">
        <v>846</v>
      </c>
      <c r="C301" s="11">
        <v>89.45</v>
      </c>
      <c r="D301" s="5">
        <v>178.9</v>
      </c>
    </row>
    <row r="302" spans="1:4" x14ac:dyDescent="0.25">
      <c r="A302" s="24">
        <v>1002484</v>
      </c>
      <c r="B302" s="25" t="s">
        <v>847</v>
      </c>
      <c r="C302" s="11">
        <v>6.1000000000000005</v>
      </c>
      <c r="D302" s="5">
        <v>12.200000000000001</v>
      </c>
    </row>
    <row r="303" spans="1:4" x14ac:dyDescent="0.25">
      <c r="A303" s="24">
        <v>1002491</v>
      </c>
      <c r="B303" s="25" t="s">
        <v>848</v>
      </c>
      <c r="C303" s="11">
        <v>0.2</v>
      </c>
      <c r="D303" s="5">
        <v>0.4</v>
      </c>
    </row>
    <row r="304" spans="1:4" x14ac:dyDescent="0.25">
      <c r="A304" s="24">
        <v>1002493</v>
      </c>
      <c r="B304" s="25" t="s">
        <v>849</v>
      </c>
      <c r="C304" s="11">
        <v>0.30000000000000004</v>
      </c>
      <c r="D304" s="5">
        <v>0.60000000000000009</v>
      </c>
    </row>
    <row r="305" spans="1:4" x14ac:dyDescent="0.25">
      <c r="A305" s="24">
        <v>1002494</v>
      </c>
      <c r="B305" s="25" t="s">
        <v>850</v>
      </c>
      <c r="C305" s="11">
        <v>0.30000000000000004</v>
      </c>
      <c r="D305" s="5">
        <v>0.60000000000000009</v>
      </c>
    </row>
    <row r="306" spans="1:4" x14ac:dyDescent="0.25">
      <c r="A306" s="24">
        <v>1002495</v>
      </c>
      <c r="B306" s="25" t="s">
        <v>851</v>
      </c>
      <c r="C306" s="11">
        <v>0.35000000000000003</v>
      </c>
      <c r="D306" s="5">
        <v>0.70000000000000007</v>
      </c>
    </row>
    <row r="307" spans="1:4" x14ac:dyDescent="0.25">
      <c r="A307" s="24">
        <v>1002499</v>
      </c>
      <c r="B307" s="25" t="s">
        <v>852</v>
      </c>
      <c r="C307" s="11">
        <v>0.2</v>
      </c>
      <c r="D307" s="5">
        <v>0.4</v>
      </c>
    </row>
    <row r="308" spans="1:4" x14ac:dyDescent="0.25">
      <c r="A308" s="24">
        <v>1002500</v>
      </c>
      <c r="B308" s="25" t="s">
        <v>853</v>
      </c>
      <c r="C308" s="11">
        <v>0.4</v>
      </c>
      <c r="D308" s="5">
        <v>0.8</v>
      </c>
    </row>
    <row r="309" spans="1:4" x14ac:dyDescent="0.25">
      <c r="A309" s="24">
        <v>1002510</v>
      </c>
      <c r="B309" s="25" t="s">
        <v>854</v>
      </c>
      <c r="C309" s="11">
        <v>11.450000000000001</v>
      </c>
      <c r="D309" s="5">
        <v>22.900000000000002</v>
      </c>
    </row>
    <row r="310" spans="1:4" x14ac:dyDescent="0.25">
      <c r="A310" s="24">
        <v>1002522</v>
      </c>
      <c r="B310" s="25" t="s">
        <v>855</v>
      </c>
      <c r="C310" s="11">
        <v>6.5500000000000007</v>
      </c>
      <c r="D310" s="5">
        <v>13.100000000000001</v>
      </c>
    </row>
    <row r="311" spans="1:4" x14ac:dyDescent="0.25">
      <c r="A311" s="24">
        <v>1002523</v>
      </c>
      <c r="B311" s="25" t="s">
        <v>856</v>
      </c>
      <c r="C311" s="11">
        <v>7.0500000000000007</v>
      </c>
      <c r="D311" s="5">
        <v>14.100000000000001</v>
      </c>
    </row>
    <row r="312" spans="1:4" x14ac:dyDescent="0.25">
      <c r="A312" s="24">
        <v>1002524</v>
      </c>
      <c r="B312" s="25" t="s">
        <v>857</v>
      </c>
      <c r="C312" s="11">
        <v>15.200000000000001</v>
      </c>
      <c r="D312" s="5">
        <v>30.400000000000002</v>
      </c>
    </row>
    <row r="313" spans="1:4" x14ac:dyDescent="0.25">
      <c r="A313" s="24">
        <v>1002525</v>
      </c>
      <c r="B313" s="25" t="s">
        <v>858</v>
      </c>
      <c r="C313" s="11">
        <v>5.8500000000000005</v>
      </c>
      <c r="D313" s="5">
        <v>11.700000000000001</v>
      </c>
    </row>
    <row r="314" spans="1:4" x14ac:dyDescent="0.25">
      <c r="A314" s="24">
        <v>1002564</v>
      </c>
      <c r="B314" s="25" t="s">
        <v>859</v>
      </c>
      <c r="C314" s="11">
        <v>24.400000000000002</v>
      </c>
      <c r="D314" s="5">
        <v>48.800000000000004</v>
      </c>
    </row>
    <row r="315" spans="1:4" x14ac:dyDescent="0.25">
      <c r="A315" s="24">
        <v>1002565</v>
      </c>
      <c r="B315" s="25" t="s">
        <v>860</v>
      </c>
      <c r="C315" s="11">
        <v>27.650000000000002</v>
      </c>
      <c r="D315" s="5">
        <v>55.300000000000004</v>
      </c>
    </row>
    <row r="316" spans="1:4" x14ac:dyDescent="0.25">
      <c r="A316" s="24">
        <v>1002566</v>
      </c>
      <c r="B316" s="25" t="s">
        <v>861</v>
      </c>
      <c r="C316" s="11">
        <v>16.95</v>
      </c>
      <c r="D316" s="5">
        <v>33.9</v>
      </c>
    </row>
    <row r="317" spans="1:4" x14ac:dyDescent="0.25">
      <c r="A317" s="24">
        <v>1002567</v>
      </c>
      <c r="B317" s="25" t="s">
        <v>862</v>
      </c>
      <c r="C317" s="11">
        <v>17.900000000000002</v>
      </c>
      <c r="D317" s="5">
        <v>35.800000000000004</v>
      </c>
    </row>
    <row r="318" spans="1:4" x14ac:dyDescent="0.25">
      <c r="A318" s="24">
        <v>1002589</v>
      </c>
      <c r="B318" s="25" t="s">
        <v>863</v>
      </c>
      <c r="C318" s="11">
        <v>8.0500000000000007</v>
      </c>
      <c r="D318" s="5">
        <v>16.100000000000001</v>
      </c>
    </row>
    <row r="319" spans="1:4" x14ac:dyDescent="0.25">
      <c r="A319" s="24">
        <v>1002612</v>
      </c>
      <c r="B319" s="25" t="s">
        <v>864</v>
      </c>
      <c r="C319" s="11">
        <v>26</v>
      </c>
      <c r="D319" s="5">
        <v>52</v>
      </c>
    </row>
    <row r="320" spans="1:4" x14ac:dyDescent="0.25">
      <c r="A320" s="24">
        <v>1002639</v>
      </c>
      <c r="B320" s="25" t="s">
        <v>865</v>
      </c>
      <c r="C320" s="11">
        <v>7.5</v>
      </c>
      <c r="D320" s="5">
        <v>15</v>
      </c>
    </row>
    <row r="321" spans="1:4" x14ac:dyDescent="0.25">
      <c r="A321" s="24">
        <v>1002640</v>
      </c>
      <c r="B321" s="25" t="s">
        <v>866</v>
      </c>
      <c r="C321" s="11">
        <v>38.650000000000006</v>
      </c>
      <c r="D321" s="5">
        <v>77.300000000000011</v>
      </c>
    </row>
    <row r="322" spans="1:4" x14ac:dyDescent="0.25">
      <c r="A322" s="24">
        <v>1002664</v>
      </c>
      <c r="B322" s="25" t="s">
        <v>867</v>
      </c>
      <c r="C322" s="11">
        <v>0.65</v>
      </c>
      <c r="D322" s="5">
        <v>1.3</v>
      </c>
    </row>
    <row r="323" spans="1:4" x14ac:dyDescent="0.25">
      <c r="A323" s="24">
        <v>1002665</v>
      </c>
      <c r="B323" s="25" t="s">
        <v>868</v>
      </c>
      <c r="C323" s="11">
        <v>0.30000000000000004</v>
      </c>
      <c r="D323" s="5">
        <v>0.60000000000000009</v>
      </c>
    </row>
    <row r="324" spans="1:4" x14ac:dyDescent="0.25">
      <c r="A324" s="24">
        <v>1002666</v>
      </c>
      <c r="B324" s="25" t="s">
        <v>869</v>
      </c>
      <c r="C324" s="11">
        <v>0.75</v>
      </c>
      <c r="D324" s="5">
        <v>1.5</v>
      </c>
    </row>
    <row r="325" spans="1:4" x14ac:dyDescent="0.25">
      <c r="A325" s="24">
        <v>1002701</v>
      </c>
      <c r="B325" s="25" t="s">
        <v>870</v>
      </c>
      <c r="C325" s="11">
        <v>7.5</v>
      </c>
      <c r="D325" s="5">
        <v>15</v>
      </c>
    </row>
    <row r="326" spans="1:4" x14ac:dyDescent="0.25">
      <c r="A326" s="24">
        <v>1002702</v>
      </c>
      <c r="B326" s="25" t="s">
        <v>871</v>
      </c>
      <c r="C326" s="11">
        <v>5.5500000000000007</v>
      </c>
      <c r="D326" s="5">
        <v>11.100000000000001</v>
      </c>
    </row>
    <row r="327" spans="1:4" x14ac:dyDescent="0.25">
      <c r="A327" s="24">
        <v>1002703</v>
      </c>
      <c r="B327" s="25" t="s">
        <v>872</v>
      </c>
      <c r="C327" s="11">
        <v>24.75</v>
      </c>
      <c r="D327" s="5">
        <v>49.5</v>
      </c>
    </row>
    <row r="328" spans="1:4" x14ac:dyDescent="0.25">
      <c r="A328" s="24">
        <v>1002834</v>
      </c>
      <c r="B328" s="25" t="s">
        <v>873</v>
      </c>
      <c r="C328" s="11">
        <v>137.15</v>
      </c>
      <c r="D328" s="5">
        <v>274.3</v>
      </c>
    </row>
    <row r="329" spans="1:4" x14ac:dyDescent="0.25">
      <c r="A329" s="24">
        <v>1002836</v>
      </c>
      <c r="B329" s="25" t="s">
        <v>874</v>
      </c>
      <c r="C329" s="11">
        <v>52</v>
      </c>
      <c r="D329" s="5">
        <v>104</v>
      </c>
    </row>
    <row r="330" spans="1:4" x14ac:dyDescent="0.25">
      <c r="A330" s="24">
        <v>1002837</v>
      </c>
      <c r="B330" s="25" t="s">
        <v>875</v>
      </c>
      <c r="C330" s="11">
        <v>52</v>
      </c>
      <c r="D330" s="5">
        <v>104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Distributor Price List</vt:lpstr>
      <vt:lpstr>SpareParts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Dekirmendjian</dc:creator>
  <cp:lastModifiedBy>Hritz, Steve</cp:lastModifiedBy>
  <cp:lastPrinted>2016-10-26T22:04:31Z</cp:lastPrinted>
  <dcterms:created xsi:type="dcterms:W3CDTF">2016-10-21T20:47:35Z</dcterms:created>
  <dcterms:modified xsi:type="dcterms:W3CDTF">2017-03-01T21:21:13Z</dcterms:modified>
</cp:coreProperties>
</file>